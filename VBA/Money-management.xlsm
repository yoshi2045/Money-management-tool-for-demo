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sunagariworks-my.sharepoint.com/personal/yoshi2045_tsunagariworks_onmicrosoft_com/Documents/2_TW/2_Projects/2020-002_Money-management-tool/VBA版/"/>
    </mc:Choice>
  </mc:AlternateContent>
  <xr:revisionPtr revIDLastSave="62" documentId="8_{D2D0C1F2-A559-4ACA-B8E5-AAE35B079E91}" xr6:coauthVersionLast="45" xr6:coauthVersionMax="45" xr10:uidLastSave="{0795A883-554E-4A22-988B-1B07A1439FCF}"/>
  <bookViews>
    <workbookView xWindow="585" yWindow="825" windowWidth="22410" windowHeight="16800" xr2:uid="{00000000-000D-0000-FFFF-FFFF00000000}"/>
  </bookViews>
  <sheets>
    <sheet name="操作" sheetId="11" r:id="rId1"/>
    <sheet name="Summary_Bank" sheetId="1" r:id="rId2"/>
    <sheet name="Divide" sheetId="2" r:id="rId3"/>
    <sheet name="Bank_UFJ(Family)" sheetId="3" r:id="rId4"/>
    <sheet name="Bank_UFJ(Biz)" sheetId="4" r:id="rId5"/>
    <sheet name="Bank_Rakuten" sheetId="5" r:id="rId6"/>
    <sheet name="Bank_NEO" sheetId="6" r:id="rId7"/>
    <sheet name="Bank_SMBC" sheetId="7" r:id="rId8"/>
    <sheet name="Card_Rakuten" sheetId="8" r:id="rId9"/>
    <sheet name="Card_View" sheetId="9" r:id="rId10"/>
    <sheet name="Card_SAISON" sheetId="10" r:id="rId11"/>
  </sheets>
  <functionGroups builtInGroupCount="19"/>
  <definedNames>
    <definedName name="_xlnm._FilterDatabase" localSheetId="5" hidden="1">Bank_Rakuten!$A$2:$D$2</definedName>
    <definedName name="_xlnm._FilterDatabase" localSheetId="3" hidden="1">'Bank_UFJ(Family)'!$A$2:$I$116</definedName>
    <definedName name="ExternalData_1" localSheetId="6">Bank_NEO!$A$3:$F$5</definedName>
    <definedName name="ExternalData_1" localSheetId="5">Bank_Rakuten!#REF!</definedName>
    <definedName name="ExternalData_1" localSheetId="7">Bank_SMBC!#REF!</definedName>
    <definedName name="ExternalData_1" localSheetId="3">'Bank_UFJ(Family)'!#REF!</definedName>
    <definedName name="ExternalData_1" localSheetId="8">Card_Rakuten!#REF!</definedName>
    <definedName name="ExternalData_1" localSheetId="10">Card_SAISON!$A$3:$G$3</definedName>
    <definedName name="ExternalData_1" localSheetId="9">Card_View!$A$3:$K$38</definedName>
    <definedName name="ExternalData_10" localSheetId="6">Bank_NEO!$A$3:$F$5</definedName>
    <definedName name="ExternalData_10" localSheetId="7">Bank_SMBC!$A$11:$E$19</definedName>
    <definedName name="ExternalData_10" localSheetId="4">'Bank_UFJ(Biz)'!$A$117:$I$230</definedName>
    <definedName name="ExternalData_10" localSheetId="3">'Bank_UFJ(Family)'!$A$3:$I$116</definedName>
    <definedName name="ExternalData_10" localSheetId="10">Card_SAISON!$A$3:$I$112</definedName>
    <definedName name="ExternalData_11" localSheetId="6">Bank_NEO!$A$3:$F$5</definedName>
    <definedName name="ExternalData_11" localSheetId="7">Bank_SMBC!$A$3:$E$11</definedName>
    <definedName name="ExternalData_11" localSheetId="4">'Bank_UFJ(Biz)'!$A$3:$I$116</definedName>
    <definedName name="ExternalData_11" localSheetId="3">'Bank_UFJ(Family)'!$A$3:$I$116</definedName>
    <definedName name="ExternalData_11" localSheetId="10">Card_SAISON!$A$113:$I$222</definedName>
    <definedName name="ExternalData_12" localSheetId="6">Bank_NEO!$A$6:$F$8</definedName>
    <definedName name="ExternalData_12" localSheetId="7">Bank_SMBC!$A$3:$I$116</definedName>
    <definedName name="ExternalData_12" localSheetId="4">'Bank_UFJ(Biz)'!$A$3:$I$116</definedName>
    <definedName name="ExternalData_12" localSheetId="3">'Bank_UFJ(Family)'!$A$3:$I$116</definedName>
    <definedName name="ExternalData_12" localSheetId="10">Card_SAISON!$A$3:$G$3</definedName>
    <definedName name="ExternalData_13" localSheetId="6">Bank_NEO!$A$9:$F$11</definedName>
    <definedName name="ExternalData_13" localSheetId="7">Bank_SMBC!$A$3:$E$11</definedName>
    <definedName name="ExternalData_13" localSheetId="4">'Bank_UFJ(Biz)'!$A$3:$I$116</definedName>
    <definedName name="ExternalData_13" localSheetId="3">'Bank_UFJ(Family)'!$A$3:$I$116</definedName>
    <definedName name="ExternalData_13" localSheetId="10">Card_SAISON!$A$4:$G$7</definedName>
    <definedName name="ExternalData_14" localSheetId="6">Bank_NEO!$A$12:$F$14</definedName>
    <definedName name="ExternalData_14" localSheetId="7">Bank_SMBC!$A$11:$E$19</definedName>
    <definedName name="ExternalData_14" localSheetId="3">'Bank_UFJ(Family)'!$A$3:$I$116</definedName>
    <definedName name="ExternalData_14" localSheetId="10">Card_SAISON!$A$8:$G$8</definedName>
    <definedName name="ExternalData_15" localSheetId="6">Bank_NEO!$A$3:$F$5</definedName>
    <definedName name="ExternalData_15" localSheetId="7">Bank_SMBC!$A$3:$E$11</definedName>
    <definedName name="ExternalData_15" localSheetId="3">'Bank_UFJ(Family)'!$A$117:$I$230</definedName>
    <definedName name="ExternalData_15" localSheetId="10">Card_SAISON!$A$9:$G$12</definedName>
    <definedName name="ExternalData_16" localSheetId="6">Bank_NEO!$A$3:$I$116</definedName>
    <definedName name="ExternalData_16" localSheetId="7">Bank_SMBC!$A$3:$E$11</definedName>
    <definedName name="ExternalData_16" localSheetId="3">'Bank_UFJ(Family)'!$A$231:$I$344</definedName>
    <definedName name="ExternalData_16" localSheetId="10">Card_SAISON!$A$3:$G$3</definedName>
    <definedName name="ExternalData_17" localSheetId="6">Bank_NEO!$A$3:$F$5</definedName>
    <definedName name="ExternalData_17" localSheetId="7">Bank_SMBC!$A$3:$E$11</definedName>
    <definedName name="ExternalData_17" localSheetId="3">'Bank_UFJ(Family)'!$A$345:$I$458</definedName>
    <definedName name="ExternalData_17" localSheetId="10">Card_SAISON!$A$4:$G$7</definedName>
    <definedName name="ExternalData_18" localSheetId="6">Bank_NEO!$A$6:$F$8</definedName>
    <definedName name="ExternalData_18" localSheetId="3">'Bank_UFJ(Family)'!$A$3:$I$116</definedName>
    <definedName name="ExternalData_18" localSheetId="10">Card_SAISON!$A$3:$G$3</definedName>
    <definedName name="ExternalData_19" localSheetId="6">Bank_NEO!$A$3:$F$5</definedName>
    <definedName name="ExternalData_19" localSheetId="10">Card_SAISON!$A$4:$G$7</definedName>
    <definedName name="ExternalData_2" localSheetId="6">Bank_NEO!$A$3:$F$5</definedName>
    <definedName name="ExternalData_2" localSheetId="5">Bank_Rakuten!#REF!</definedName>
    <definedName name="ExternalData_2" localSheetId="7">Bank_SMBC!#REF!</definedName>
    <definedName name="ExternalData_2" localSheetId="3">'Bank_UFJ(Family)'!#REF!</definedName>
    <definedName name="ExternalData_2" localSheetId="8">Card_Rakuten!#REF!</definedName>
    <definedName name="ExternalData_2" localSheetId="10">Card_SAISON!$A$3:$G$3</definedName>
    <definedName name="ExternalData_2" localSheetId="9">Card_View!$A$3:$K$38</definedName>
    <definedName name="ExternalData_20" localSheetId="6">Bank_NEO!$A$3:$F$5</definedName>
    <definedName name="ExternalData_20" localSheetId="3">'Bank_UFJ(Family)'!$A$3:$I$116</definedName>
    <definedName name="ExternalData_20" localSheetId="10">Card_SAISON!$A$3:$G$3</definedName>
    <definedName name="ExternalData_21" localSheetId="6">Bank_NEO!$A$3:$F$5</definedName>
    <definedName name="ExternalData_21" localSheetId="3">'Bank_UFJ(Family)'!$A$3:$I$116</definedName>
    <definedName name="ExternalData_21" localSheetId="10">Card_SAISON!$A$4:$G$7</definedName>
    <definedName name="ExternalData_22" localSheetId="3">'Bank_UFJ(Family)'!$A$3:$I$77</definedName>
    <definedName name="ExternalData_23" localSheetId="3">'Bank_UFJ(Family)'!$A$78:$I$152</definedName>
    <definedName name="ExternalData_24" localSheetId="3">'Bank_UFJ(Family)'!$A$3:$I$77</definedName>
    <definedName name="ExternalData_25" localSheetId="3">'Bank_UFJ(Family)'!$A$3:$I$77</definedName>
    <definedName name="ExternalData_26" localSheetId="3">'Bank_UFJ(Family)'!$A$3:$I$77</definedName>
    <definedName name="ExternalData_3" localSheetId="6">Bank_NEO!$A$3:$F$5</definedName>
    <definedName name="ExternalData_3" localSheetId="5">Bank_Rakuten!#REF!</definedName>
    <definedName name="ExternalData_3" localSheetId="7">Bank_SMBC!#REF!</definedName>
    <definedName name="ExternalData_3" localSheetId="8">Card_Rakuten!#REF!</definedName>
    <definedName name="ExternalData_3" localSheetId="10">Card_SAISON!#REF!</definedName>
    <definedName name="ExternalData_3" localSheetId="9">Card_View!$A$3:$K$38</definedName>
    <definedName name="ExternalData_4" localSheetId="6">Bank_NEO!$A$3:$F$5</definedName>
    <definedName name="ExternalData_4" localSheetId="5">Bank_Rakuten!#REF!</definedName>
    <definedName name="ExternalData_4" localSheetId="7">Bank_SMBC!#REF!</definedName>
    <definedName name="ExternalData_4" localSheetId="4">'Bank_UFJ(Biz)'!$A$3:$I$116</definedName>
    <definedName name="ExternalData_4" localSheetId="3">'Bank_UFJ(Family)'!#REF!</definedName>
    <definedName name="ExternalData_4" localSheetId="8">Card_Rakuten!#REF!</definedName>
    <definedName name="ExternalData_4" localSheetId="10">Card_SAISON!$A$3:$E$3</definedName>
    <definedName name="ExternalData_5" localSheetId="6">Bank_NEO!$A$6:$F$8</definedName>
    <definedName name="ExternalData_5" localSheetId="5">Bank_Rakuten!#REF!</definedName>
    <definedName name="ExternalData_5" localSheetId="7">Bank_SMBC!$A$3:$E$3</definedName>
    <definedName name="ExternalData_5" localSheetId="3">'Bank_UFJ(Family)'!$A$3:$I$116</definedName>
    <definedName name="ExternalData_5" localSheetId="10">Card_SAISON!$A$3:$G$3</definedName>
    <definedName name="ExternalData_6" localSheetId="6">Bank_NEO!$A$3:$F$5</definedName>
    <definedName name="ExternalData_6" localSheetId="7">Bank_SMBC!$A$3:$E$11</definedName>
    <definedName name="ExternalData_6" localSheetId="4">'Bank_UFJ(Biz)'!$A$3:$I$116</definedName>
    <definedName name="ExternalData_6" localSheetId="3">'Bank_UFJ(Family)'!$A$3:$I$116</definedName>
    <definedName name="ExternalData_6" localSheetId="10">Card_SAISON!$A$4:$G$4</definedName>
    <definedName name="ExternalData_7" localSheetId="6">Bank_NEO!$A$6:$F$8</definedName>
    <definedName name="ExternalData_7" localSheetId="7">Bank_SMBC!$A$3:$E$11</definedName>
    <definedName name="ExternalData_7" localSheetId="4">'Bank_UFJ(Biz)'!$A$3:$I$116</definedName>
    <definedName name="ExternalData_7" localSheetId="3">'Bank_UFJ(Family)'!$A$3:$I$116</definedName>
    <definedName name="ExternalData_7" localSheetId="10">Card_SAISON!$A$3:$G$3</definedName>
    <definedName name="ExternalData_8" localSheetId="6">Bank_NEO!$A$3:$F$5</definedName>
    <definedName name="ExternalData_8" localSheetId="7">Bank_SMBC!$A$3:$E$11</definedName>
    <definedName name="ExternalData_8" localSheetId="4">'Bank_UFJ(Biz)'!$A$3:$I$116</definedName>
    <definedName name="ExternalData_8" localSheetId="3">'Bank_UFJ(Family)'!$A$3:$I$116</definedName>
    <definedName name="ExternalData_8" localSheetId="10">Card_SAISON!$A$4:$G$4</definedName>
    <definedName name="ExternalData_9" localSheetId="6">Bank_NEO!$A$3:$F$5</definedName>
    <definedName name="ExternalData_9" localSheetId="7">Bank_SMBC!$A$3:$E$11</definedName>
    <definedName name="ExternalData_9" localSheetId="4">'Bank_UFJ(Biz)'!$A$3:$I$116</definedName>
    <definedName name="ExternalData_9" localSheetId="3">'Bank_UFJ(Family)'!$A$117:$I$230</definedName>
    <definedName name="ExternalData_9" localSheetId="10">Card_SAISON!$A$3:$G$3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4" i="2" l="1"/>
  <c r="N14" i="2"/>
  <c r="L14" i="2"/>
  <c r="J14" i="2"/>
  <c r="H14" i="2"/>
  <c r="F14" i="2"/>
  <c r="D14" i="2"/>
  <c r="O13" i="2"/>
  <c r="N13" i="2"/>
  <c r="M13" i="2"/>
  <c r="M14" i="2" s="1"/>
  <c r="L13" i="2"/>
  <c r="K13" i="2"/>
  <c r="K14" i="2" s="1"/>
  <c r="J13" i="2"/>
  <c r="I13" i="2"/>
  <c r="I14" i="2" s="1"/>
  <c r="H13" i="2"/>
  <c r="G13" i="2"/>
  <c r="G14" i="2" s="1"/>
  <c r="F13" i="2"/>
  <c r="E13" i="2"/>
  <c r="E14" i="2" s="1"/>
  <c r="D13" i="2"/>
  <c r="O10" i="2"/>
  <c r="N10" i="2"/>
  <c r="M10" i="2"/>
  <c r="H10" i="2"/>
  <c r="O9" i="2"/>
  <c r="N9" i="2"/>
  <c r="M9" i="2"/>
  <c r="L9" i="2"/>
  <c r="L10" i="2" s="1"/>
  <c r="K9" i="2"/>
  <c r="K10" i="2" s="1"/>
  <c r="J9" i="2"/>
  <c r="J10" i="2" s="1"/>
  <c r="I9" i="2"/>
  <c r="I10" i="2" s="1"/>
  <c r="H9" i="2"/>
  <c r="G9" i="2"/>
  <c r="G10" i="2" s="1"/>
  <c r="F9" i="2"/>
  <c r="F10" i="2" s="1"/>
  <c r="E9" i="2"/>
  <c r="E10" i="2" s="1"/>
  <c r="D9" i="2"/>
  <c r="D10" i="2" s="1"/>
  <c r="O6" i="2"/>
  <c r="N6" i="2"/>
  <c r="M6" i="2"/>
  <c r="L6" i="2"/>
  <c r="O5" i="2"/>
  <c r="N5" i="2"/>
  <c r="M5" i="2"/>
  <c r="L5" i="2"/>
  <c r="K5" i="2"/>
  <c r="K6" i="2" s="1"/>
  <c r="J5" i="2"/>
  <c r="J6" i="2" s="1"/>
  <c r="I5" i="2"/>
  <c r="I6" i="2" s="1"/>
  <c r="H5" i="2"/>
  <c r="H6" i="2" s="1"/>
  <c r="G5" i="2"/>
  <c r="G6" i="2" s="1"/>
  <c r="F5" i="2"/>
  <c r="F6" i="2" s="1"/>
  <c r="E5" i="2"/>
  <c r="E6" i="2" s="1"/>
  <c r="D5" i="2"/>
  <c r="D6" i="2" s="1"/>
  <c r="O26" i="1" l="1"/>
  <c r="N26" i="1"/>
  <c r="M26" i="1"/>
  <c r="L26" i="1"/>
  <c r="K26" i="1"/>
  <c r="J26" i="1"/>
  <c r="I26" i="1"/>
  <c r="H26" i="1"/>
  <c r="G26" i="1"/>
  <c r="F26" i="1"/>
  <c r="E26" i="1"/>
  <c r="O25" i="1"/>
  <c r="N25" i="1"/>
  <c r="M25" i="1"/>
  <c r="L25" i="1"/>
  <c r="K25" i="1"/>
  <c r="J25" i="1"/>
  <c r="I25" i="1"/>
  <c r="H25" i="1"/>
  <c r="G25" i="1"/>
  <c r="F25" i="1"/>
  <c r="E25" i="1"/>
  <c r="O22" i="1"/>
  <c r="N22" i="1"/>
  <c r="M22" i="1"/>
  <c r="L22" i="1"/>
  <c r="K22" i="1"/>
  <c r="J22" i="1"/>
  <c r="I22" i="1"/>
  <c r="H22" i="1"/>
  <c r="G22" i="1"/>
  <c r="F22" i="1"/>
  <c r="E22" i="1"/>
  <c r="O21" i="1"/>
  <c r="N21" i="1"/>
  <c r="M21" i="1"/>
  <c r="L21" i="1"/>
  <c r="K21" i="1"/>
  <c r="J21" i="1"/>
  <c r="I21" i="1"/>
  <c r="H21" i="1"/>
  <c r="G21" i="1"/>
  <c r="F21" i="1"/>
  <c r="E21" i="1"/>
  <c r="O18" i="1"/>
  <c r="N18" i="1"/>
  <c r="M18" i="1"/>
  <c r="L18" i="1"/>
  <c r="K18" i="1"/>
  <c r="J18" i="1"/>
  <c r="I18" i="1"/>
  <c r="H18" i="1"/>
  <c r="G18" i="1"/>
  <c r="F18" i="1"/>
  <c r="E18" i="1"/>
  <c r="O17" i="1"/>
  <c r="N17" i="1"/>
  <c r="M17" i="1"/>
  <c r="L17" i="1"/>
  <c r="K17" i="1"/>
  <c r="J17" i="1"/>
  <c r="I17" i="1"/>
  <c r="H17" i="1"/>
  <c r="G17" i="1"/>
  <c r="F17" i="1"/>
  <c r="E17" i="1"/>
  <c r="O14" i="1"/>
  <c r="N14" i="1"/>
  <c r="M14" i="1"/>
  <c r="L14" i="1"/>
  <c r="K14" i="1"/>
  <c r="J14" i="1"/>
  <c r="I14" i="1"/>
  <c r="H14" i="1"/>
  <c r="G14" i="1"/>
  <c r="F14" i="1"/>
  <c r="E14" i="1"/>
  <c r="O13" i="1"/>
  <c r="N13" i="1"/>
  <c r="M13" i="1"/>
  <c r="L13" i="1"/>
  <c r="K13" i="1"/>
  <c r="J13" i="1"/>
  <c r="I13" i="1"/>
  <c r="H13" i="1"/>
  <c r="G13" i="1"/>
  <c r="F13" i="1"/>
  <c r="E13" i="1"/>
  <c r="O10" i="1"/>
  <c r="N10" i="1"/>
  <c r="M10" i="1"/>
  <c r="L10" i="1"/>
  <c r="K10" i="1"/>
  <c r="J10" i="1"/>
  <c r="I10" i="1"/>
  <c r="H10" i="1"/>
  <c r="G10" i="1"/>
  <c r="F10" i="1"/>
  <c r="E10" i="1"/>
  <c r="O9" i="1"/>
  <c r="N9" i="1"/>
  <c r="M9" i="1"/>
  <c r="L9" i="1"/>
  <c r="K9" i="1"/>
  <c r="J9" i="1"/>
  <c r="I9" i="1"/>
  <c r="H9" i="1"/>
  <c r="G9" i="1"/>
  <c r="F9" i="1"/>
  <c r="E9" i="1"/>
  <c r="O4" i="1"/>
  <c r="O5" i="1" s="1"/>
  <c r="N4" i="1"/>
  <c r="N5" i="1" s="1"/>
  <c r="M4" i="1"/>
  <c r="L4" i="1"/>
  <c r="K4" i="1"/>
  <c r="J4" i="1"/>
  <c r="I4" i="1"/>
  <c r="H4" i="1"/>
  <c r="G4" i="1"/>
  <c r="F4" i="1"/>
  <c r="E4" i="1"/>
  <c r="D4" i="1"/>
  <c r="G6" i="1" l="1"/>
  <c r="F5" i="1"/>
  <c r="L5" i="1"/>
  <c r="I5" i="1"/>
  <c r="J6" i="1"/>
  <c r="E6" i="1"/>
  <c r="K6" i="1"/>
  <c r="G5" i="1"/>
  <c r="M5" i="1"/>
  <c r="N6" i="1"/>
  <c r="H5" i="1"/>
  <c r="J5" i="1"/>
  <c r="F6" i="1"/>
  <c r="E5" i="1"/>
  <c r="L6" i="1"/>
  <c r="M6" i="1"/>
  <c r="H6" i="1"/>
  <c r="I6" i="1"/>
  <c r="O6" i="1"/>
  <c r="K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38CA75-0C55-426F-9D96-66FB6D58B806}" name="1234567_20201115192941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" xr16:uid="{AC3089A1-AD9F-4B72-99B9-D25983616E03}" name="1234567_202011151929411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3" xr16:uid="{94B4181A-B9C4-40A5-B359-60E4C8DB86E7}" name="1234567_2020111519294110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4" xr16:uid="{D905CA55-97C0-4CCB-B4DD-FCAC130F16AB}" name="1234567_2020111519294111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5" xr16:uid="{E10CD9DA-9868-4152-BBEE-83B81831ACA7}" name="1234567_2020111519294112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6" xr16:uid="{2C1A12B1-3DAB-464A-84D9-76F929E4405C}" name="1234567_2020111519294113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7" xr16:uid="{9B8DA46A-55F2-43C2-92B0-1B68B310DB78}" name="1234567_2020111519294114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8" xr16:uid="{558AF5E0-823F-40BE-9C57-287C9E5CFE8D}" name="1234567_2020111519294115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9" xr16:uid="{8660D9E3-4178-4701-9082-79B148CDBA5D}" name="1234567_2020111519294116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0" xr16:uid="{2BC1B901-15F3-4479-A39A-900AC239C170}" name="1234567_2020111519294117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1" xr16:uid="{266D3771-D93B-48AB-ADA9-6F4527EC9E83}" name="1234567_2020111519294118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2" xr16:uid="{92B451F4-F549-41BB-8705-C737BF23E628}" name="1234567_2020111519294119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3" xr16:uid="{C0ABAD57-6AB0-4541-8964-6E6144E6181C}" name="1234567_202011151929412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4" xr16:uid="{2CF532D2-9D43-41D3-B6CB-C921B3E1CE1D}" name="1234567_2020111519294120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5" xr16:uid="{0615AE43-C227-43D8-867E-7D6975ED5707}" name="1234567_2020111519294121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6" xr16:uid="{EEA1C0AE-869B-49D8-A4F1-97F635E35035}" name="1234567_2020111519294122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17" xr16:uid="{2B86C0AB-6C2C-440D-8725-B32DEC8FDEB7}" name="1234567_2020111519294123" type="6" refreshedVersion="6" background="1" saveData="1">
    <textPr prompt="0" codePage="932" firstRow="6" sourceFile="D:\OneDrive - ツナガリワークス\2_TW\2_Projects\2020-002_Money-management-tool\VBA版\data\1234567_20201115192941.csv" comma="1">
      <textFields>
        <textField/>
      </textFields>
    </textPr>
  </connection>
  <connection id="18" xr16:uid="{23FCB764-9CE6-4F53-9785-E12E9D293506}" name="1234567_2020111519294124" type="6" refreshedVersion="6" background="1" saveData="1">
    <textPr prompt="0" codePage="932" firstRow="6" sourceFile="D:\OneDrive - ツナガリワークス\2_TW\2_Projects\2020-002_Money-management-tool\VBA版\data\1234567_20201115192941.csv" comma="1">
      <textFields>
        <textField/>
      </textFields>
    </textPr>
  </connection>
  <connection id="19" xr16:uid="{80362A24-19D0-4DFD-B705-C74CB9CA7346}" name="1234567_2020111519294125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0" xr16:uid="{42980E01-9352-46FD-A4FF-CB8813C8B820}" name="1234567_2020111519294126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1" xr16:uid="{1CF03D82-E932-4B7E-A8B5-0007BD40F686}" name="1234567_2020111519294127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2" xr16:uid="{C53D538D-2554-4A75-BFCA-B081AA090E88}" name="1234567_2020111519294128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3" xr16:uid="{76CA0E24-8B9F-4107-ADA9-685D5214F3DE}" name="1234567_202011151929413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4" xr16:uid="{8549FEB2-E3BE-4672-AEC8-2C4215BB31D1}" name="1234567_202011151929414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5" xr16:uid="{B733514D-7060-4491-80D8-FFB626696CB5}" name="1234567_202011151929415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6" xr16:uid="{C97644D5-4B63-468B-9C3F-58E76D7D75BB}" name="1234567_202011151929416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7" xr16:uid="{28E73C2E-E421-41BB-A766-6DEC4ED4D0C9}" name="1234567_202011151929417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8" xr16:uid="{67F7AEB0-89B3-46BB-B328-D887B327C467}" name="1234567_202011151929418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29" xr16:uid="{CA959ADD-E04A-425C-BF69-4E5313208C2E}" name="1234567_202011151929419" type="6" refreshedVersion="6" background="1" saveData="1">
    <textPr prompt="0" codePage="932" firstRow="2" sourceFile="D:\OneDrive - ツナガリワークス\2_TW\2_Projects\2020-002_Money-management-tool\VBA版\data\1234567_20201115192941.csv" comma="1">
      <textFields>
        <textField/>
      </textFields>
    </textPr>
  </connection>
  <connection id="30" xr16:uid="{BA841E13-4AF9-4655-BA07-7D722B739B70}" name="7654321_20201115192712" type="6" refreshedVersion="6" background="1" saveData="1">
    <textPr prompt="0" codePage="932" firstRow="2" sourceFile="D:\OneDrive - ツナガリワークス\2_TW\2_Projects\2020-002_Money-management-tool\VBA版\data\7654321_20201115192712.csv" comma="1">
      <textFields>
        <textField/>
      </textFields>
    </textPr>
  </connection>
  <connection id="31" xr16:uid="{EA995225-30BB-4DEB-A33E-FBEA48B0BD83}" name="7654321_202011151927121" type="6" refreshedVersion="6" background="1" saveData="1">
    <textPr prompt="0" codePage="932" firstRow="2" sourceFile="D:\OneDrive - ツナガリワークス\2_TW\2_Projects\2020-002_Money-management-tool\VBA版\data\7654321_20201115192712.csv" comma="1">
      <textFields>
        <textField/>
      </textFields>
    </textPr>
  </connection>
  <connection id="32" xr16:uid="{8F934190-7FB8-4E40-98AE-97754BC0BE46}" name="7654321_202011151927122" type="6" refreshedVersion="6" background="1" saveData="1">
    <textPr prompt="0" codePage="932" firstRow="2" sourceFile="D:\OneDrive - ツナガリワークス\2_TW\2_Projects\2020-002_Money-management-tool\VBA版\data\7654321_20201115192712.csv" comma="1">
      <textFields>
        <textField/>
      </textFields>
    </textPr>
  </connection>
  <connection id="33" xr16:uid="{BD8052DB-6E03-42C2-8919-8A57D6DC900B}" name="7654321_202011151927123" type="6" refreshedVersion="6" background="1" saveData="1">
    <textPr prompt="0" codePage="932" firstRow="2" sourceFile="D:\OneDrive - ツナガリワークス\2_TW\2_Projects\2020-002_Money-management-tool\VBA版\data\7654321_20201115192712.csv" comma="1">
      <textFields>
        <textField/>
      </textFields>
    </textPr>
  </connection>
  <connection id="34" xr16:uid="{1F81DCFB-CDC5-47D6-8601-9E30AA9B5CA5}" name="7654321_202011151927124" type="6" refreshedVersion="6" background="1" saveData="1">
    <textPr prompt="0" codePage="932" firstRow="2" sourceFile="D:\OneDrive - ツナガリワークス\2_TW\2_Projects\2020-002_Money-management-tool\VBA版\data\7654321_20201115192712.csv" comma="1">
      <textFields>
        <textField/>
      </textFields>
    </textPr>
  </connection>
  <connection id="35" xr16:uid="{94253FD3-D9AB-4A75-B02D-B25370064612}" name="meisai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36" xr16:uid="{36A34021-7D9B-423D-9C28-7797E3061ABB}" name="meisai1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37" xr16:uid="{35B1AD0E-BB22-402C-B59A-20D763C991E2}" name="meisai10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38" xr16:uid="{D1CEDD47-558D-4373-BF6B-8ACE117DB275}" name="meisai11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39" xr16:uid="{F3C12C35-F9C2-45FF-944E-DAF2E3953629}" name="meisai12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0" xr16:uid="{C3A7CB41-3CC9-4CE4-BD7F-1EECA7D2A249}" name="meisai2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1" xr16:uid="{4D2117AA-4519-4CC6-8D7E-067493C97624}" name="meisai3" type="6" refreshedVersion="6" background="1" saveData="1">
    <textPr prompt="0" codePage="932" firstRow="6" sourceFile="D:\OneDrive - ツナガリワークス\2_TW\2_Projects\2020-002_Money-management-tool\VBA版\data\meisai.csv" comma="1">
      <textFields>
        <textField/>
      </textFields>
    </textPr>
  </connection>
  <connection id="42" xr16:uid="{9030BC33-29BA-4EF5-93AA-1E53CAF082F0}" name="meisai4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3" xr16:uid="{085349F9-77A7-4B30-B8D2-F5CF59F5A2A7}" name="meisai5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4" xr16:uid="{DEB3F2C5-1F0A-404E-8746-156D602518C6}" name="meisai6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5" xr16:uid="{6817065F-A591-4658-A193-CE6EF958D90F}" name="meisai7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6" xr16:uid="{4FEA9D51-1F8A-4CA1-B2FD-FD6CD6CB01F9}" name="meisai8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7" xr16:uid="{988E9FAD-8F18-45EB-88AA-ED185828C5F4}" name="meisai9" type="6" refreshedVersion="6" background="1" saveData="1">
    <textPr prompt="0" codePage="932" firstRow="2" sourceFile="D:\OneDrive - ツナガリワークス\2_TW\2_Projects\2020-002_Money-management-tool\VBA版\data\meisai.csv" comma="1">
      <textFields>
        <textField/>
      </textFields>
    </textPr>
  </connection>
  <connection id="48" xr16:uid="{18D5C138-7C78-41AC-AEFE-C64A3955200C}" name="nyushukinmeisai_20201120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49" xr16:uid="{A1F645F3-F424-4BF0-9FA1-C3609AF8B7F0}" name="nyushukinmeisai_202011201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0" xr16:uid="{4EC28297-0353-40B0-BA76-A26799799B6E}" name="nyushukinmeisai_2020112010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1" xr16:uid="{A7140C5B-4588-4AB0-821C-C716C3A5D964}" name="nyushukinmeisai_2020112011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2" xr16:uid="{B268B9C0-1173-484A-B6A1-317CC5A388D1}" name="nyushukinmeisai_2020112012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3" xr16:uid="{E3F3B92D-0FE4-4060-857A-DC4DB0BA08D4}" name="nyushukinmeisai_2020112013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4" xr16:uid="{AADA2637-32F5-46B6-8FD0-76F12D64C2A1}" name="nyushukinmeisai_2020112014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5" xr16:uid="{7FA5DE57-1CB3-4069-B8FE-FBF48D4A87A1}" name="nyushukinmeisai_2020112015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6" xr16:uid="{75AF9202-2A66-470F-A7A8-2279F770576D}" name="nyushukinmeisai_2020112016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7" xr16:uid="{C9AE563F-A97E-4D1E-9033-D8D19A8EF813}" name="nyushukinmeisai_2020112017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8" xr16:uid="{44CFD873-1877-492E-B246-6DF3D00ACFEA}" name="nyushukinmeisai_2020112018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59" xr16:uid="{9C4FF2EB-C30F-4D56-B274-DED7C1C471BB}" name="nyushukinmeisai_2020112019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0" xr16:uid="{4F52534C-E985-41C0-9FE6-344BC174957F}" name="nyushukinmeisai_202011202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1" xr16:uid="{6989E5A8-BB8E-4BF3-936F-02431993EFFE}" name="nyushukinmeisai_202011203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2" xr16:uid="{560BD06E-605F-48EE-8F99-2832A835182A}" name="nyushukinmeisai_202011204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3" xr16:uid="{5023AB31-3BF4-4D86-B1B7-05F2F840CEB6}" name="nyushukinmeisai_202011205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4" xr16:uid="{CBE83343-BA66-4349-B783-A2CB2DB71154}" name="nyushukinmeisai_202011206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5" xr16:uid="{6560B42A-975B-41FE-BB24-3B034A0F4B48}" name="nyushukinmeisai_202011207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6" xr16:uid="{E57965D2-1B10-4E6A-A5F7-9538217C08B1}" name="nyushukinmeisai_202011208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7" xr16:uid="{EE403D0E-B3E1-4C8D-ADBE-FDBD6D738731}" name="nyushukinmeisai_202011209" type="6" refreshedVersion="6" background="1" saveData="1">
    <textPr prompt="0" codePage="932" firstRow="2" sourceFile="D:\OneDrive - ツナガリワークス\2_TW\2_Projects\2020-002_Money-management-tool\VBA版\data\nyushukinmeisai_20201120.csv" comma="1">
      <textFields>
        <textField/>
      </textFields>
    </textPr>
  </connection>
  <connection id="68" xr16:uid="{9004379C-7EE1-4619-AAD1-1AAD551F6CD5}" name="SAISON_2009" type="6" refreshedVersion="6" background="1" saveData="1">
    <textPr prompt="0" codePage="932" firstRow="2" sourceFile="D:\OneDrive - ツナガリワークス\2_TW\2_Projects\2020-002_Money-management-tool\VBA版\data\SAISON_2009.csv" comma="1">
      <textFields>
        <textField/>
      </textFields>
    </textPr>
  </connection>
  <connection id="69" xr16:uid="{18156BAC-FB8B-4C48-9689-36C4F4516FF2}" name="SAISON_20091" type="6" refreshedVersion="6" background="1" saveData="1">
    <textPr prompt="0" codePage="932" firstRow="2" sourceFile="D:\OneDrive - ツナガリワークス\2_TW\2_Projects\2020-002_Money-management-tool\VBA版\data\SAISON_2009.csv" comma="1">
      <textFields>
        <textField/>
      </textFields>
    </textPr>
  </connection>
  <connection id="70" xr16:uid="{03790D18-2E7E-4C29-9D3B-A53237585078}" name="SAISON_200910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1" xr16:uid="{A59BB9D4-4385-49EE-B96A-8937CCA16DF8}" name="SAISON_200911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2" xr16:uid="{9FD588C9-F355-4E74-BBC2-6BE6BF719360}" name="SAISON_20092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3" xr16:uid="{320129A1-368A-47EC-9DBA-1F25F7F093F8}" name="SAISON_20093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4" xr16:uid="{43523636-6F6B-4BE5-86F0-B7DD341E8EB2}" name="SAISON_20094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5" xr16:uid="{3F258E5C-E0AB-46C9-965C-E60818046EA2}" name="SAISON_20095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6" xr16:uid="{4DD2D836-E0C4-4D86-A64A-1A59F274F510}" name="SAISON_20096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7" xr16:uid="{261293E5-EB73-4EB3-B5CA-3D886C1BC199}" name="SAISON_20097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8" xr16:uid="{51926E8D-C73C-4636-AA5E-67170F22B5BF}" name="SAISON_20098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79" xr16:uid="{5331B596-D223-44DE-9FB3-D7C493D59A1E}" name="SAISON_20099" type="6" refreshedVersion="6" background="1" saveData="1">
    <textPr prompt="0" codePage="932" firstRow="6" sourceFile="D:\OneDrive - ツナガリワークス\2_TW\2_Projects\2020-002_Money-management-tool\VBA版\data\SAISON_2009.csv" comma="1">
      <textFields>
        <textField/>
      </textFields>
    </textPr>
  </connection>
  <connection id="80" xr16:uid="{FEE10692-0C19-4028-81DB-99AE4B53D444}" name="SAISON_2010" type="6" refreshedVersion="6" background="1" saveData="1">
    <textPr prompt="0" codePage="932" firstRow="6" sourceFile="D:\OneDrive - ツナガリワークス\2_TW\2_Projects\2020-002_Money-management-tool\VBA版\data\SAISON_2010.csv" comma="1">
      <textFields>
        <textField/>
      </textFields>
    </textPr>
  </connection>
  <connection id="81" xr16:uid="{A5B8E54F-8A25-46A1-A022-5B89AE1B6BB8}" name="SAISON_20101" type="6" refreshedVersion="6" background="1" saveData="1">
    <textPr prompt="0" codePage="932" firstRow="6" sourceFile="D:\OneDrive - ツナガリワークス\2_TW\2_Projects\2020-002_Money-management-tool\VBA版\data\SAISON_2010.csv" comma="1">
      <textFields>
        <textField/>
      </textFields>
    </textPr>
  </connection>
  <connection id="82" xr16:uid="{4EDF4D8C-905B-4D3C-AFB6-FCDCB69A2EB7}" name="SAISON_20102" type="6" refreshedVersion="6" background="1" saveData="1">
    <textPr prompt="0" codePage="932" firstRow="6" sourceFile="D:\OneDrive - ツナガリワークス\2_TW\2_Projects\2020-002_Money-management-tool\VBA版\data\SAISON_2010.csv" comma="1">
      <textFields>
        <textField/>
      </textFields>
    </textPr>
  </connection>
  <connection id="83" xr16:uid="{D87BE503-9597-4FCD-8DC2-94D54CD8BE6E}" name="SAISON_20103" type="6" refreshedVersion="6" background="1" saveData="1">
    <textPr prompt="0" codePage="932" firstRow="6" sourceFile="D:\OneDrive - ツナガリワークス\2_TW\2_Projects\2020-002_Money-management-tool\VBA版\data\SAISON_2010.csv" comma="1">
      <textFields>
        <textField/>
      </textFields>
    </textPr>
  </connection>
  <connection id="84" xr16:uid="{A3C7D1ED-94D8-40FA-B571-AE52914FCF72}" name="SAISON_20104" type="6" refreshedVersion="6" background="1" saveData="1">
    <textPr prompt="0" codePage="932" firstRow="6" sourceFile="D:\OneDrive - ツナガリワークス\2_TW\2_Projects\2020-002_Money-management-tool\VBA版\data\SAISON_2010.csv" comma="1">
      <textFields>
        <textField/>
      </textFields>
    </textPr>
  </connection>
  <connection id="85" xr16:uid="{007E635A-3B99-444E-9F9E-9372B00B306C}" name="ご利用明細_202001" type="6" refreshedVersion="6" background="1" saveData="1">
    <textPr prompt="0" codePage="932" firstRow="2" sourceFile="D:\OneDrive - ツナガリワークス\2_TW\2_Projects\2020-002_Money-management-tool\VBA版\data\ご利用明細_202001.csv" comma="1">
      <textFields>
        <textField/>
      </textFields>
    </textPr>
  </connection>
  <connection id="86" xr16:uid="{765D29E2-814B-4E7D-801D-9A75A00CDC16}" name="ご利用明細_2020011" type="6" refreshedVersion="6" background="1" saveData="1">
    <textPr prompt="0" codePage="932" firstRow="2" sourceFile="D:\OneDrive - ツナガリワークス\2_TW\2_Projects\2020-002_Money-management-tool\VBA版\data\ご利用明細_202001.csv" comma="1">
      <textFields>
        <textField/>
      </textFields>
    </textPr>
  </connection>
  <connection id="87" xr16:uid="{46D66CE6-3D5E-4F4E-8E10-A813658E135E}" name="ご利用明細_2020012" type="6" refreshedVersion="6" background="1" saveData="1">
    <textPr prompt="0" codePage="932" firstRow="2" sourceFile="D:\OneDrive - ツナガリワークス\2_TW\2_Projects\2020-002_Money-management-tool\VBA版\data\ご利用明細_202001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<sst xmlns="http://schemas.openxmlformats.org/spreadsheetml/2006/main" count="2487" uniqueCount="259">
  <si>
    <t>資産サマリー【銀行口座】</t>
  </si>
  <si>
    <t>エクセル関数埋込み</t>
  </si>
  <si>
    <t>銀行（各行合計）</t>
  </si>
  <si>
    <t>残高</t>
  </si>
  <si>
    <t>○</t>
  </si>
  <si>
    <t>UFJ銀行（私用）</t>
  </si>
  <si>
    <t>UFJ銀行（事業用）</t>
  </si>
  <si>
    <t>楽天銀行（事業用）</t>
  </si>
  <si>
    <t>NEOBANK（旧SBI銀行）</t>
  </si>
  <si>
    <t>三井住友銀行（生活防衛費 ＆ 教育費）</t>
  </si>
  <si>
    <t>按分計算用</t>
  </si>
  <si>
    <t>ガス</t>
  </si>
  <si>
    <t>支払額</t>
  </si>
  <si>
    <t>事業 40%</t>
  </si>
  <si>
    <t>家事 60%</t>
  </si>
  <si>
    <t>電気</t>
  </si>
  <si>
    <t>水道</t>
  </si>
  <si>
    <t>私用口座</t>
  </si>
  <si>
    <t>日付</t>
  </si>
  <si>
    <t>摘要</t>
  </si>
  <si>
    <t>摘要内容</t>
  </si>
  <si>
    <t>支払い金額</t>
  </si>
  <si>
    <t>預かり金額</t>
  </si>
  <si>
    <t>差引残高</t>
  </si>
  <si>
    <t>メモ</t>
  </si>
  <si>
    <t>未資金化区分</t>
  </si>
  <si>
    <t>入払区分</t>
  </si>
  <si>
    <t>事業口座（UFJ銀行）</t>
  </si>
  <si>
    <t>事業口座（楽天銀行）</t>
  </si>
  <si>
    <t>取引日</t>
  </si>
  <si>
    <t>入出金(円)</t>
  </si>
  <si>
    <t>残高(円)</t>
  </si>
  <si>
    <t>入出金先内容</t>
  </si>
  <si>
    <t>つみたてNISA用口座（NEOBANK-旧SBI銀行）</t>
  </si>
  <si>
    <t>内容</t>
  </si>
  <si>
    <t>出金金額(円)</t>
  </si>
  <si>
    <t>入金金額(円)</t>
  </si>
  <si>
    <t>貯蓄口座（三井住友銀行）</t>
  </si>
  <si>
    <t>年月日</t>
  </si>
  <si>
    <t>お引出し</t>
  </si>
  <si>
    <t>お預入れ</t>
  </si>
  <si>
    <t>お取り扱い内容</t>
  </si>
  <si>
    <t>クレジットカード明細（楽天カード）</t>
  </si>
  <si>
    <t>利用日</t>
  </si>
  <si>
    <t>利用者</t>
  </si>
  <si>
    <t>支払方法</t>
  </si>
  <si>
    <t>利用金額</t>
  </si>
  <si>
    <t>支払手数料</t>
  </si>
  <si>
    <t>支払総額</t>
  </si>
  <si>
    <t>当月支払金額</t>
  </si>
  <si>
    <t>翌月繰越残高</t>
  </si>
  <si>
    <t>新規サイン</t>
  </si>
  <si>
    <t>クレジットカード明細（Viewカード）</t>
  </si>
  <si>
    <t>ご利用年月日</t>
  </si>
  <si>
    <t>ご利用箇所</t>
  </si>
  <si>
    <t>ご利用額</t>
  </si>
  <si>
    <t>払戻額</t>
  </si>
  <si>
    <t>ご請求額（うち手数料・利息）</t>
  </si>
  <si>
    <t>支払区分（回数）</t>
  </si>
  <si>
    <t>今回回数</t>
  </si>
  <si>
    <t>今回ご請求額・弁済金（うち手数料・利息）</t>
  </si>
  <si>
    <t>現地通貨額</t>
  </si>
  <si>
    <t>通貨略称</t>
  </si>
  <si>
    <t>換算レート</t>
  </si>
  <si>
    <t>クレジットカード明細（SAISONカード）</t>
  </si>
  <si>
    <t>ご利用店名及び商品名</t>
  </si>
  <si>
    <t>本人・家族区分</t>
  </si>
  <si>
    <t>支払区分名称</t>
  </si>
  <si>
    <t>締前入金区分</t>
  </si>
  <si>
    <t>備考</t>
  </si>
  <si>
    <t>金融機関の明細収集ツール</t>
    <phoneticPr fontId="1"/>
  </si>
  <si>
    <t>前月比</t>
  </si>
  <si>
    <t>年初比</t>
  </si>
  <si>
    <t>振込　ｺｿﾀﾞﾃｷﾕｳﾌｷﾝ</t>
  </si>
  <si>
    <t>普通預金利息</t>
  </si>
  <si>
    <t>振込　ｺｿﾀﾞﾃｵｳ</t>
  </si>
  <si>
    <t>振込　ｼﾞﾄﾞｳﾃｱﾃ</t>
  </si>
  <si>
    <t>AAA</t>
  </si>
  <si>
    <t>１回</t>
  </si>
  <si>
    <t>オートチャージ（リンク）</t>
  </si>
  <si>
    <t>１回払</t>
  </si>
  <si>
    <t xml:space="preserve">   </t>
  </si>
  <si>
    <t>ライフネット生命保険　株式会社</t>
  </si>
  <si>
    <t>オンラインチケット</t>
  </si>
  <si>
    <t>BBB店</t>
  </si>
  <si>
    <t>DDD</t>
  </si>
  <si>
    <t>EEE</t>
  </si>
  <si>
    <t>FFF店</t>
  </si>
  <si>
    <t>SSS</t>
  </si>
  <si>
    <t>ＴＳＵＴＡＹＡ</t>
  </si>
  <si>
    <t>WWW</t>
  </si>
  <si>
    <t>消費者還元</t>
  </si>
  <si>
    <t>ｵﾍﾞﾝﾄﾈﾂﾄ</t>
  </si>
  <si>
    <t>本人</t>
  </si>
  <si>
    <t>1回払い</t>
  </si>
  <si>
    <t>*</t>
  </si>
  <si>
    <t>AMAZON.CO.JP</t>
  </si>
  <si>
    <t>スーパーマーケット</t>
  </si>
  <si>
    <t>ﾌﾞﾂｸｵﾌ</t>
  </si>
  <si>
    <t>鹿児島県南さつま市</t>
  </si>
  <si>
    <t>秋田県湯沢市</t>
  </si>
  <si>
    <t>北海道根室市</t>
  </si>
  <si>
    <t>ﾋﾟｻﾞ-ﾗ</t>
  </si>
  <si>
    <t>鹿児島県大崎町</t>
  </si>
  <si>
    <t>ｼﾖｺﾗﾃｲｴ.ﾛﾏﾝﾃｲ</t>
  </si>
  <si>
    <t>ケーズデンキ</t>
  </si>
  <si>
    <t>くまざわ書店</t>
  </si>
  <si>
    <t>ｵﾀﾖﾘﾎﾝﾎﾟ</t>
  </si>
  <si>
    <t>八重洲ブックセンター</t>
  </si>
  <si>
    <t>ヤマダ電機　楽天市場店</t>
  </si>
  <si>
    <t>ｿﾌﾄﾊﾞﾝｸM(11ｶﾞﾂ)</t>
  </si>
  <si>
    <t>デンキヤ２</t>
  </si>
  <si>
    <t>オリックス生命保険　保険料</t>
  </si>
  <si>
    <t>東京電力　　料金　　　１９／１２</t>
  </si>
  <si>
    <t>ｹ-ﾖ-ﾃﾞｲﾂ-</t>
  </si>
  <si>
    <t>ｱﾏｿﾞﾝﾌﾟﾗｲﾑｶｲﾋ</t>
  </si>
  <si>
    <t>TOHO</t>
  </si>
  <si>
    <t>GOOGLE CLOUD SERV</t>
  </si>
  <si>
    <t>ｵｻｲﾎﾟﾎﾟｲﾝﾄｺｳﾆﾕｳｼﾞ</t>
  </si>
  <si>
    <t>ｶﾞｽ2019/11</t>
  </si>
  <si>
    <t>利用店名・商品名</t>
    <phoneticPr fontId="1"/>
  </si>
  <si>
    <t>太陽石油_x000D_
5169</t>
    <phoneticPr fontId="1"/>
  </si>
  <si>
    <t>ＥＴＣカード売上_x000D_
AAA</t>
    <phoneticPr fontId="1"/>
  </si>
  <si>
    <t>振込ＩＢ２</t>
  </si>
  <si>
    <t>マイツキノフリコミ</t>
  </si>
  <si>
    <t>振替支払い</t>
  </si>
  <si>
    <t>為替手数料</t>
  </si>
  <si>
    <t>フリコミ　テスウリヨウ</t>
  </si>
  <si>
    <t>振込ＩＢ１</t>
  </si>
  <si>
    <t>セイカツヒ</t>
  </si>
  <si>
    <t>口座振替３</t>
  </si>
  <si>
    <t>ＤＦ．ウエルスナビ</t>
  </si>
  <si>
    <t>ＤＦ．ＴＨＥＯツミタテ</t>
  </si>
  <si>
    <t>ビユ－カ－ド</t>
  </si>
  <si>
    <t>シヨウキボキヨウサイ</t>
  </si>
  <si>
    <t>カクテイキヨシユツカケキ</t>
  </si>
  <si>
    <t>口座振替４</t>
  </si>
  <si>
    <t>ラクテンカ－ドサ－ビ</t>
  </si>
  <si>
    <t>振込１</t>
  </si>
  <si>
    <t>カ）ダミーノカイシャ</t>
  </si>
  <si>
    <t>振替入金</t>
  </si>
  <si>
    <t>ラクテンシヨウケン（カ</t>
  </si>
  <si>
    <t>カ）カイケイジムショ</t>
  </si>
  <si>
    <t>利息</t>
  </si>
  <si>
    <t>振込２</t>
  </si>
  <si>
    <t>ゼイムシヨ</t>
  </si>
  <si>
    <t>カ）ダミーノカイシャ１</t>
  </si>
  <si>
    <t>ダミーノカイシャ２（カ</t>
  </si>
  <si>
    <t>カードＣ１</t>
  </si>
  <si>
    <t>セブンギンコウＡＴＭ</t>
  </si>
  <si>
    <t>支払い</t>
  </si>
  <si>
    <t>手数料</t>
  </si>
  <si>
    <t>カ）エスビ－アイシヨウケン</t>
  </si>
  <si>
    <t>ラクテンショウケンカブシキガイシャ （自動スイ－プ）</t>
  </si>
  <si>
    <t>預金利息</t>
  </si>
  <si>
    <t>ソニ－ネツトワ－クコミユニケ－シヨンズ　（カ</t>
  </si>
  <si>
    <t>ジ－ポイント</t>
  </si>
  <si>
    <t>ラクテンショウケン　カブシキガイシャ</t>
  </si>
  <si>
    <t>ＳＢＩハイブリッド預金</t>
  </si>
  <si>
    <t>-</t>
  </si>
  <si>
    <t>振込＊ジーポイント</t>
  </si>
  <si>
    <t>振込＊ABCD</t>
  </si>
  <si>
    <t>振込　ﾄｸﾍﾞﾂﾃｲｶﾞｸｷﾕｳﾌｷﾝ</t>
  </si>
  <si>
    <t>年金</t>
  </si>
  <si>
    <t>コクミンネンキン</t>
  </si>
  <si>
    <t>カ－ド</t>
  </si>
  <si>
    <t>ローン</t>
  </si>
  <si>
    <t>ロ－ンヘンサイホケン</t>
  </si>
  <si>
    <t>コクホリヨウ</t>
  </si>
  <si>
    <t>ス－パ－フツウ</t>
  </si>
  <si>
    <t>スイドウダイ</t>
  </si>
  <si>
    <t>税金</t>
  </si>
  <si>
    <t>コテイゼイ</t>
  </si>
  <si>
    <t>シケンミンゼイ</t>
  </si>
  <si>
    <t>セゾン</t>
  </si>
  <si>
    <t>ガツコウキユウシヨクヒ</t>
  </si>
  <si>
    <t>ﾄﾞﾗｯｸﾞｽﾄｱV/M</t>
  </si>
  <si>
    <t>ｱﾄﾚ</t>
  </si>
  <si>
    <t>ｿﾌﾄﾊﾞﾝｸM(12ｶﾞﾂ)</t>
  </si>
  <si>
    <t>東京電力　　料金　　　２０／０１</t>
  </si>
  <si>
    <t>ｶﾞｽ2019/12</t>
  </si>
  <si>
    <t>スーパーマーケットV/M</t>
  </si>
  <si>
    <t>BBB</t>
  </si>
  <si>
    <t>ｿﾌﾄﾊﾞﾝｸM(01ｶﾞﾂ)</t>
  </si>
  <si>
    <t>SHOPAAA</t>
  </si>
  <si>
    <t>SHOPBBB</t>
  </si>
  <si>
    <t>PAYPAL *MICROSOFT</t>
  </si>
  <si>
    <t>ﾏﾙｾﾞﾝ</t>
  </si>
  <si>
    <t>東京電力　　料金　　　２０／０２</t>
  </si>
  <si>
    <t>ｵﾅﾏｴﾄﾞﾂﾄｺﾑﾄﾞﾒｲﾝ</t>
  </si>
  <si>
    <t>ｶﾞｽ2020/01</t>
  </si>
  <si>
    <t>スーパーV/M</t>
  </si>
  <si>
    <t>ｿﾌﾄﾊﾞﾝｸM(02ｶﾞﾂ)</t>
  </si>
  <si>
    <t>東京電力　　料金　　　２０／０３</t>
  </si>
  <si>
    <t>CCC</t>
  </si>
  <si>
    <t>ｶﾞｽ2020/02</t>
  </si>
  <si>
    <t>出光興産</t>
  </si>
  <si>
    <t>ｿﾌﾄﾊﾞﾝｸM(03ｶﾞﾂ)</t>
  </si>
  <si>
    <t>東京電力　　料金　　　２０／０４</t>
  </si>
  <si>
    <t>手帳カバー</t>
  </si>
  <si>
    <t>ｿﾈﾂﾄ</t>
  </si>
  <si>
    <t>ｶﾞｽ2020/03</t>
  </si>
  <si>
    <t>ソニー損保　保険料</t>
  </si>
  <si>
    <t>ダイハツ</t>
  </si>
  <si>
    <t>ﾔﾖｲｽﾄｱ</t>
  </si>
  <si>
    <t>ｿﾌﾄﾊﾞﾝｸM(04ｶﾞﾂ)</t>
  </si>
  <si>
    <t>QQQ</t>
  </si>
  <si>
    <t>ﾂｸﾓﾈﾂﾄｼﾖﾂﾌﾟ ｴﾑﾌﾞｲ</t>
  </si>
  <si>
    <t>ローソン</t>
  </si>
  <si>
    <t>ｶﾞｽ2020/04</t>
  </si>
  <si>
    <t>AMAZON DOWNLOADS</t>
  </si>
  <si>
    <t>ﾊﾞﾘﾕｰﾄﾞﾒｲﾝ</t>
  </si>
  <si>
    <t>インテリア雑貨</t>
  </si>
  <si>
    <t>ｿﾌﾄﾊﾞﾝｸM(05ｶﾞﾂ)</t>
  </si>
  <si>
    <t>ｼ-ﾃﾞｲ-ｴﾅｼﾞ-ﾀﾞｲﾚｸﾄ</t>
  </si>
  <si>
    <t>セブン－イレブン</t>
  </si>
  <si>
    <t>JRﾋｶﾞｼﾆﾎﾝ ﾐﾄﾞﾘﾉﾏﾄ</t>
  </si>
  <si>
    <t>ﾏﾙｴﾂ</t>
  </si>
  <si>
    <t>ｶﾞｽ2020/05</t>
  </si>
  <si>
    <t>ジャパネットたかた</t>
  </si>
  <si>
    <t>APPLE COM BILL</t>
  </si>
  <si>
    <t>ﾋﾞﾂｸﾞﾛ-ﾌﾞﾘﾖｳﾘﾖｳ</t>
  </si>
  <si>
    <t>ホームセンターブリコ</t>
  </si>
  <si>
    <t>ﾏﾈｰﾌｵﾜｰﾄﾞ</t>
  </si>
  <si>
    <t>ｶﾞｽ2020/06</t>
  </si>
  <si>
    <t>ｶﾞｽ2020/07</t>
  </si>
  <si>
    <t>楽天ゴールドカード年会費／２１年０８月迄</t>
  </si>
  <si>
    <t>鹿児島県日置市</t>
  </si>
  <si>
    <t>熊本県天草市</t>
  </si>
  <si>
    <t>楽天ブックス</t>
  </si>
  <si>
    <t>イオンリテール</t>
  </si>
  <si>
    <t>コジマ楽天市場店</t>
  </si>
  <si>
    <t>ｶﾞｽ2020/08</t>
  </si>
  <si>
    <t>MSFT *&lt;E0400C6APY&gt;利用国JP_x000D_
現地利用額　　　　　　　９９０．０００変換レート　　　１．０００円</t>
    <phoneticPr fontId="1"/>
  </si>
  <si>
    <t>GUM.CO/CC* 100利用国US_x000D_
現地利用額　　　　　　　　７５．２１０変換レート　１０８．０３１円</t>
    <phoneticPr fontId="1"/>
  </si>
  <si>
    <t>ラウンドワンスタジアム</t>
  </si>
  <si>
    <t>アリオ</t>
  </si>
  <si>
    <t>あああ</t>
  </si>
  <si>
    <t>いいい</t>
  </si>
  <si>
    <t>シュープラザ</t>
  </si>
  <si>
    <t>おおお</t>
  </si>
  <si>
    <t>ＡＭＡＺＯＮ．ＣＯ．ＪＰ</t>
  </si>
  <si>
    <t>どうぶつ病院</t>
  </si>
  <si>
    <t>島村楽器</t>
  </si>
  <si>
    <t>ううう</t>
  </si>
  <si>
    <t>マツモトキヨシ</t>
  </si>
  <si>
    <t>Ｎｉｎｔｅｎｄｏ　ｅＳｈｏｐ</t>
  </si>
  <si>
    <t>デイツー</t>
  </si>
  <si>
    <t>えええ</t>
  </si>
  <si>
    <t>リアルスタイル</t>
  </si>
  <si>
    <t>日本赤十字社　社資募集</t>
  </si>
  <si>
    <t>Ａｍａｚｏｎ　Ｍａｒｋｅｔ　Ｐｌａｃｅ</t>
  </si>
  <si>
    <t>マクドナルド</t>
  </si>
  <si>
    <t>モバイルＳｕｉｃａ入金（チャージ）</t>
  </si>
  <si>
    <t>オートチャージ（モバイル）</t>
  </si>
  <si>
    <t>ユニクロ</t>
  </si>
  <si>
    <t>GGG</t>
  </si>
  <si>
    <t>ショコラティエ・ろまん亭</t>
  </si>
  <si>
    <t>ホームセンター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</si>
</sst>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0" tint="-0.499984740745262"/>
      <name val="游ゴシック"/>
      <family val="2"/>
      <scheme val="minor"/>
    </font>
    <font>
      <sz val="11"/>
      <color theme="0" tint="-0.49998474074526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vertic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1" xfId="0" applyBorder="1"/>
    <xf numFmtId="0" fontId="0" fillId="0" borderId="1" xfId="0" applyBorder="1" applyAlignment="1">
      <alignment horizontal="left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3" borderId="6" xfId="0" applyFont="1" applyFill="1" applyBorder="1"/>
    <xf numFmtId="0" fontId="3" fillId="3" borderId="5" xfId="0" applyFont="1" applyFill="1" applyBorder="1"/>
    <xf numFmtId="0" fontId="0" fillId="3" borderId="3" xfId="0" applyFill="1" applyBorder="1"/>
    <xf numFmtId="0" fontId="0" fillId="3" borderId="4" xfId="0" applyFill="1" applyBorder="1"/>
    <xf numFmtId="3" fontId="0" fillId="0" borderId="3" xfId="0" applyNumberFormat="1" applyBorder="1"/>
    <xf numFmtId="3" fontId="0" fillId="0" borderId="4" xfId="0" applyNumberFormat="1" applyBorder="1"/>
    <xf numFmtId="38" fontId="0" fillId="0" borderId="3" xfId="0" applyNumberFormat="1" applyBorder="1"/>
    <xf numFmtId="38" fontId="0" fillId="0" borderId="4" xfId="0" applyNumberFormat="1" applyBorder="1"/>
    <xf numFmtId="0" fontId="0" fillId="2" borderId="5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1" xfId="0" applyBorder="1" applyAlignment="1">
      <alignment horizontal="left" indent="1"/>
    </xf>
    <xf numFmtId="3" fontId="0" fillId="2" borderId="9" xfId="0" applyNumberFormat="1" applyFill="1" applyBorder="1"/>
    <xf numFmtId="3" fontId="0" fillId="2" borderId="10" xfId="0" applyNumberFormat="1" applyFill="1" applyBorder="1"/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/>
    </xf>
    <xf numFmtId="0" fontId="0" fillId="2" borderId="0" xfId="0" applyFill="1"/>
    <xf numFmtId="3" fontId="0" fillId="2" borderId="0" xfId="0" applyNumberFormat="1" applyFill="1"/>
    <xf numFmtId="0" fontId="2" fillId="0" borderId="0" xfId="0" applyFont="1"/>
    <xf numFmtId="0" fontId="0" fillId="2" borderId="0" xfId="0" applyFill="1" applyAlignment="1">
      <alignment vertical="center"/>
    </xf>
    <xf numFmtId="0" fontId="0" fillId="0" borderId="0" xfId="0"/>
    <xf numFmtId="38" fontId="0" fillId="4" borderId="3" xfId="0" applyNumberFormat="1" applyFill="1" applyBorder="1"/>
    <xf numFmtId="38" fontId="0" fillId="4" borderId="3" xfId="0" applyNumberFormat="1" applyFill="1" applyBorder="1" applyAlignment="1">
      <alignment horizontal="right"/>
    </xf>
    <xf numFmtId="3" fontId="0" fillId="4" borderId="3" xfId="0" applyNumberFormat="1" applyFill="1" applyBorder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176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238125</xdr:rowOff>
        </xdr:from>
        <xdr:to>
          <xdr:col>3</xdr:col>
          <xdr:colOff>0</xdr:colOff>
          <xdr:row>4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238125</xdr:rowOff>
        </xdr:from>
        <xdr:to>
          <xdr:col>6</xdr:col>
          <xdr:colOff>0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238125</xdr:rowOff>
        </xdr:from>
        <xdr:to>
          <xdr:col>9</xdr:col>
          <xdr:colOff>0</xdr:colOff>
          <xdr:row>4</xdr:row>
          <xdr:rowOff>238125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会計事務所向け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ファイル出力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34" xr16:uid="{4B71E233-FE24-48C8-A71A-88DFFFEAA31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" xr16:uid="{310A4BE6-A87A-4260-B0B8-C01B8638E275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23" xr16:uid="{2991C172-5FB2-4D2D-9462-561DB8E0AF9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31" xr16:uid="{2E94B9D2-DD36-4685-83D0-4BC5A5EABE09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5" xr16:uid="{21EA8950-B016-4721-A4C8-35CCC7028B1C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6" xr16:uid="{9BD594A7-E5CA-4702-96E5-D9A98B2E1965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4" xr16:uid="{92A4DB87-694A-4C3F-9E62-2BF0656E641B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0" xr16:uid="{17DE1B8A-5C98-46DE-ABE2-A7E3AC38DD44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" xr16:uid="{14DF03B2-208A-4801-A0A4-71B7E1AD85C2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2" xr16:uid="{72AB3921-EA36-4325-9DC9-1002844A20AF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27" xr16:uid="{FB048CE4-BD67-4C53-801E-4798154E4C55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33" xr16:uid="{1924AD0F-5A25-41F3-A186-9EECA7B1EFBC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4" xr16:uid="{78CAC4E2-58EF-4D13-AE87-CC0ECF061F1B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3" xr16:uid="{350EA8FC-76D7-4486-978E-C55E793A07C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28" xr16:uid="{9AF1192C-46F1-4DD1-9C4A-29025E27039E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" xr16:uid="{0EC3F15C-C3B9-4071-A434-8A7B16F0F42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4" xr16:uid="{C775FAE4-A72C-41A4-B646-A9E38DB2DA96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29" xr16:uid="{2B1F8131-986A-4D16-95DA-3ED500B30EAC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0" xr16:uid="{57EEB8BC-0103-45FC-8422-2070B93B004C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6" xr16:uid="{6D9DD680-3532-4246-81D2-8D618BD3F63C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5" xr16:uid="{6F14418F-F9ED-45D5-A64B-A8D8DAA224B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22" xr16:uid="{B62DCAFF-25CB-4A47-B60D-09F29F556BF9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9" xr16:uid="{72F5D8E1-6584-43FF-AF0A-2F64EB4DB0F6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8" xr16:uid="{2CD181ED-13DA-4D03-9136-58F84797FBE1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0" xr16:uid="{CE733082-E951-4284-9E1E-463134E322CA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9" xr16:uid="{282561C5-7AD3-498E-9BBD-7EFAE83BD056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1" xr16:uid="{D3779F60-9FE4-4C0D-B227-9EAB4DDEDA52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7" xr16:uid="{C91EC39B-046C-426B-9E68-68508BC3F2C8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2" xr16:uid="{6D72CB34-7D58-405A-8DBA-00298D110871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1" xr16:uid="{6BD02945-56BE-4C57-B8A6-52644728C6B4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59" xr16:uid="{AB1D0479-9C93-45E2-AE4E-263626BE1A41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48" xr16:uid="{6F9C91E7-9C49-45B2-A623-F82CC24DF036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60" xr16:uid="{FA53D2F8-6761-4CA6-B6E7-E7C5511A7695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57" xr16:uid="{379D5EC7-27FE-42B2-B1F8-607EB4D47548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62" xr16:uid="{30443715-2363-472B-9781-140D551397BB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53" xr16:uid="{46415106-9C11-4EED-9C97-59927EB533CF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64" xr16:uid="{58E4A396-DFDF-4BE6-8C7A-21CE5ADF09C4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6" xr16:uid="{D72F8AD2-A25C-48A1-9C9D-79B8D04B1C49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52" xr16:uid="{1363F387-AAF1-4C32-B8A4-68DAAFD637E1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55" xr16:uid="{9614576C-4192-476E-9196-40BDC4B64C45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66" xr16:uid="{70A8223C-180B-4694-93DA-8FB5A9912C88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58" xr16:uid="{BC82B3E6-4E97-46C4-A92C-FB52D2273D77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50" xr16:uid="{712B39BD-3A82-4EF7-8D4C-AF0416B2884C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54" xr16:uid="{0978E56C-B302-4512-8934-7FE8F33353F2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51" xr16:uid="{6A7C8F4F-0B04-4A3B-8E08-51E9BC5A1C26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65" xr16:uid="{CF2003E5-4A93-4162-82E7-7E65F03252B5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67" xr16:uid="{79084020-8E6D-4D02-8792-1069C35A4E2B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63" xr16:uid="{C20827CC-0EA6-4329-BF01-C7A1FE6C69E4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56" xr16:uid="{CA890EE3-9262-4CFF-9777-6B5024BCB775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61" xr16:uid="{F06FE051-6A00-4C9B-99F0-E0E6CFF5A1EC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49" xr16:uid="{D644C05A-A253-4274-A334-2433FBB0F17C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9" xr16:uid="{6E59B719-178D-4343-BF68-952FA85586B2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38" xr16:uid="{5CF7BC5E-363A-4CC1-AEAC-D3474EDED8FC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7" xr16:uid="{8575E4EB-FA0D-4B9D-B509-368D677545B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2" xr16:uid="{4A1AE95E-AE47-4164-8D4B-A4D067E21FBB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44" xr16:uid="{CC367245-D9C3-4E29-ADDE-EF5C9C4E6015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43" xr16:uid="{84E94F75-50D6-4B57-B39F-E8A5CF52D999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5" xr16:uid="{D65523F1-FDCD-4A6F-80CB-E07B3E7C54D3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40" xr16:uid="{AA585C82-2A54-48A8-A894-45E149714086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35" xr16:uid="{1387D763-7E9E-478B-ABE5-408083E3581C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5" xr16:uid="{059BF2BC-B2C8-40BF-9BBF-AD9AB58BBBEB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47" xr16:uid="{2BCB9011-A920-47BD-908E-6065D96CB2F8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46" xr16:uid="{0075F869-F3DC-4812-9DA0-09CA38AE8DC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36" xr16:uid="{0955BDA8-B82C-4AEA-B1EC-BF2D10D95912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85" xr16:uid="{A7EBE90C-202B-452C-BD7F-41B18D929959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87" xr16:uid="{EF85D04F-6826-40DF-92FB-77BF90E5A4C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86" xr16:uid="{BE4BBC54-C326-4653-ADDE-11FB9CD98ACE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84" xr16:uid="{E053B9D0-0750-4B04-A289-1FD511B54B4D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71" xr16:uid="{B0C95B90-CEE0-497A-928F-26645933704A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73" xr16:uid="{5939E3B2-B929-4D1A-B156-A0E90BF92885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80" xr16:uid="{AC5A1293-919C-48CD-A922-BFD6ED1F7ED7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70" xr16:uid="{C324078F-FBC2-44B6-98BF-A90F0568408E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81" xr16:uid="{07C5C5B5-FA5A-4640-A385-1BBAB3A99348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79" xr16:uid="{A54E3E21-F0B5-4968-81E3-C5CA22FA1166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75" xr16:uid="{0EBC48EF-6333-47F9-B3D5-8CEE1A030F9A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8" xr16:uid="{97351DC1-6477-4849-8B8C-E94AAA773C56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7" xr16:uid="{024CD63D-F364-4488-9623-0EDE40DC01D6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76" xr16:uid="{0E34A2D0-A4E6-46E3-90F2-4A85EE38497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8" xr16:uid="{405846EC-483B-4268-AF6D-7EA71F25AE67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77" xr16:uid="{AE4E4D24-0031-47B6-81F9-EF68B4E6C89C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41" xr16:uid="{CAB0E973-1038-4498-88AE-33EB54878E0C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68" xr16:uid="{35F6F626-B66B-43E9-B023-23A4218AB58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74" xr16:uid="{D32859E8-07DF-4EB0-949A-C8FD4F4BD58F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72" xr16:uid="{1B1C3FCB-AE27-4734-9758-0657B5443CB8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83" xr16:uid="{2BB45D09-1122-42BD-9169-9AA74C1607E4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82" xr16:uid="{F3968ABA-4CF5-4B24-A2A9-B89722085D1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69" xr16:uid="{A5C0B9D6-CF26-409E-91D5-B066565530A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9.xml"/><Relationship Id="rId3" Type="http://schemas.openxmlformats.org/officeDocument/2006/relationships/queryTable" Target="../queryTables/queryTable24.xml"/><Relationship Id="rId7" Type="http://schemas.openxmlformats.org/officeDocument/2006/relationships/queryTable" Target="../queryTables/queryTable28.xml"/><Relationship Id="rId2" Type="http://schemas.openxmlformats.org/officeDocument/2006/relationships/queryTable" Target="../queryTables/queryTable23.xml"/><Relationship Id="rId1" Type="http://schemas.openxmlformats.org/officeDocument/2006/relationships/queryTable" Target="../queryTables/queryTable22.xml"/><Relationship Id="rId6" Type="http://schemas.openxmlformats.org/officeDocument/2006/relationships/queryTable" Target="../queryTables/queryTable27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Relationship Id="rId9" Type="http://schemas.openxmlformats.org/officeDocument/2006/relationships/queryTable" Target="../queryTables/queryTable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8.xml"/><Relationship Id="rId13" Type="http://schemas.openxmlformats.org/officeDocument/2006/relationships/queryTable" Target="../queryTables/queryTable43.xml"/><Relationship Id="rId18" Type="http://schemas.openxmlformats.org/officeDocument/2006/relationships/queryTable" Target="../queryTables/queryTable48.xml"/><Relationship Id="rId3" Type="http://schemas.openxmlformats.org/officeDocument/2006/relationships/queryTable" Target="../queryTables/queryTable33.xml"/><Relationship Id="rId21" Type="http://schemas.openxmlformats.org/officeDocument/2006/relationships/queryTable" Target="../queryTables/queryTable51.xml"/><Relationship Id="rId7" Type="http://schemas.openxmlformats.org/officeDocument/2006/relationships/queryTable" Target="../queryTables/queryTable37.xml"/><Relationship Id="rId12" Type="http://schemas.openxmlformats.org/officeDocument/2006/relationships/queryTable" Target="../queryTables/queryTable42.xml"/><Relationship Id="rId17" Type="http://schemas.openxmlformats.org/officeDocument/2006/relationships/queryTable" Target="../queryTables/queryTable47.xml"/><Relationship Id="rId2" Type="http://schemas.openxmlformats.org/officeDocument/2006/relationships/queryTable" Target="../queryTables/queryTable32.xml"/><Relationship Id="rId16" Type="http://schemas.openxmlformats.org/officeDocument/2006/relationships/queryTable" Target="../queryTables/queryTable46.xml"/><Relationship Id="rId20" Type="http://schemas.openxmlformats.org/officeDocument/2006/relationships/queryTable" Target="../queryTables/queryTable50.xml"/><Relationship Id="rId1" Type="http://schemas.openxmlformats.org/officeDocument/2006/relationships/queryTable" Target="../queryTables/queryTable31.xml"/><Relationship Id="rId6" Type="http://schemas.openxmlformats.org/officeDocument/2006/relationships/queryTable" Target="../queryTables/queryTable36.xml"/><Relationship Id="rId11" Type="http://schemas.openxmlformats.org/officeDocument/2006/relationships/queryTable" Target="../queryTables/queryTable41.xml"/><Relationship Id="rId5" Type="http://schemas.openxmlformats.org/officeDocument/2006/relationships/queryTable" Target="../queryTables/queryTable35.xml"/><Relationship Id="rId15" Type="http://schemas.openxmlformats.org/officeDocument/2006/relationships/queryTable" Target="../queryTables/queryTable45.xml"/><Relationship Id="rId10" Type="http://schemas.openxmlformats.org/officeDocument/2006/relationships/queryTable" Target="../queryTables/queryTable40.xml"/><Relationship Id="rId19" Type="http://schemas.openxmlformats.org/officeDocument/2006/relationships/queryTable" Target="../queryTables/queryTable49.xml"/><Relationship Id="rId4" Type="http://schemas.openxmlformats.org/officeDocument/2006/relationships/queryTable" Target="../queryTables/queryTable34.xml"/><Relationship Id="rId9" Type="http://schemas.openxmlformats.org/officeDocument/2006/relationships/queryTable" Target="../queryTables/queryTable39.xml"/><Relationship Id="rId14" Type="http://schemas.openxmlformats.org/officeDocument/2006/relationships/queryTable" Target="../queryTables/queryTable4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.xml"/><Relationship Id="rId13" Type="http://schemas.openxmlformats.org/officeDocument/2006/relationships/queryTable" Target="../queryTables/queryTable64.xml"/><Relationship Id="rId3" Type="http://schemas.openxmlformats.org/officeDocument/2006/relationships/queryTable" Target="../queryTables/queryTable54.xml"/><Relationship Id="rId7" Type="http://schemas.openxmlformats.org/officeDocument/2006/relationships/queryTable" Target="../queryTables/queryTable58.xml"/><Relationship Id="rId12" Type="http://schemas.openxmlformats.org/officeDocument/2006/relationships/queryTable" Target="../queryTables/queryTable63.xml"/><Relationship Id="rId2" Type="http://schemas.openxmlformats.org/officeDocument/2006/relationships/queryTable" Target="../queryTables/queryTable53.xml"/><Relationship Id="rId1" Type="http://schemas.openxmlformats.org/officeDocument/2006/relationships/queryTable" Target="../queryTables/queryTable52.xml"/><Relationship Id="rId6" Type="http://schemas.openxmlformats.org/officeDocument/2006/relationships/queryTable" Target="../queryTables/queryTable57.xml"/><Relationship Id="rId11" Type="http://schemas.openxmlformats.org/officeDocument/2006/relationships/queryTable" Target="../queryTables/queryTable62.xml"/><Relationship Id="rId5" Type="http://schemas.openxmlformats.org/officeDocument/2006/relationships/queryTable" Target="../queryTables/queryTable56.xml"/><Relationship Id="rId10" Type="http://schemas.openxmlformats.org/officeDocument/2006/relationships/queryTable" Target="../queryTables/queryTable61.xml"/><Relationship Id="rId4" Type="http://schemas.openxmlformats.org/officeDocument/2006/relationships/queryTable" Target="../queryTables/queryTable55.xml"/><Relationship Id="rId9" Type="http://schemas.openxmlformats.org/officeDocument/2006/relationships/queryTable" Target="../queryTables/queryTable6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queryTable" Target="../queryTables/queryTable6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5.xml"/><Relationship Id="rId13" Type="http://schemas.openxmlformats.org/officeDocument/2006/relationships/queryTable" Target="../queryTables/queryTable80.xml"/><Relationship Id="rId18" Type="http://schemas.openxmlformats.org/officeDocument/2006/relationships/queryTable" Target="../queryTables/queryTable85.xml"/><Relationship Id="rId3" Type="http://schemas.openxmlformats.org/officeDocument/2006/relationships/queryTable" Target="../queryTables/queryTable70.xml"/><Relationship Id="rId7" Type="http://schemas.openxmlformats.org/officeDocument/2006/relationships/queryTable" Target="../queryTables/queryTable74.xml"/><Relationship Id="rId12" Type="http://schemas.openxmlformats.org/officeDocument/2006/relationships/queryTable" Target="../queryTables/queryTable79.xml"/><Relationship Id="rId17" Type="http://schemas.openxmlformats.org/officeDocument/2006/relationships/queryTable" Target="../queryTables/queryTable84.xml"/><Relationship Id="rId2" Type="http://schemas.openxmlformats.org/officeDocument/2006/relationships/queryTable" Target="../queryTables/queryTable69.xml"/><Relationship Id="rId16" Type="http://schemas.openxmlformats.org/officeDocument/2006/relationships/queryTable" Target="../queryTables/queryTable83.xml"/><Relationship Id="rId20" Type="http://schemas.openxmlformats.org/officeDocument/2006/relationships/queryTable" Target="../queryTables/queryTable87.xml"/><Relationship Id="rId1" Type="http://schemas.openxmlformats.org/officeDocument/2006/relationships/queryTable" Target="../queryTables/queryTable68.xml"/><Relationship Id="rId6" Type="http://schemas.openxmlformats.org/officeDocument/2006/relationships/queryTable" Target="../queryTables/queryTable73.xml"/><Relationship Id="rId11" Type="http://schemas.openxmlformats.org/officeDocument/2006/relationships/queryTable" Target="../queryTables/queryTable78.xml"/><Relationship Id="rId5" Type="http://schemas.openxmlformats.org/officeDocument/2006/relationships/queryTable" Target="../queryTables/queryTable72.xml"/><Relationship Id="rId15" Type="http://schemas.openxmlformats.org/officeDocument/2006/relationships/queryTable" Target="../queryTables/queryTable82.xml"/><Relationship Id="rId10" Type="http://schemas.openxmlformats.org/officeDocument/2006/relationships/queryTable" Target="../queryTables/queryTable77.xml"/><Relationship Id="rId19" Type="http://schemas.openxmlformats.org/officeDocument/2006/relationships/queryTable" Target="../queryTables/queryTable86.xml"/><Relationship Id="rId4" Type="http://schemas.openxmlformats.org/officeDocument/2006/relationships/queryTable" Target="../queryTables/queryTable71.xml"/><Relationship Id="rId9" Type="http://schemas.openxmlformats.org/officeDocument/2006/relationships/queryTable" Target="../queryTables/queryTable76.xml"/><Relationship Id="rId14" Type="http://schemas.openxmlformats.org/officeDocument/2006/relationships/queryTable" Target="../queryTables/queryTable8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D9B88-05A3-4EAC-976A-47AB90F1C7FF}">
  <sheetPr codeName="Sheet1"/>
  <dimension ref="A1"/>
  <sheetViews>
    <sheetView showGridLines="0" tabSelected="1" workbookViewId="0">
      <selection activeCell="E23" sqref="E23"/>
    </sheetView>
  </sheetViews>
  <sheetFormatPr defaultRowHeight="18.75" x14ac:dyDescent="0.4"/>
  <sheetData>
    <row r="1" spans="1:1" x14ac:dyDescent="0.4">
      <c r="A1" s="29" t="s">
        <v>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1</xdr:col>
                    <xdr:colOff>0</xdr:colOff>
                    <xdr:row>1</xdr:row>
                    <xdr:rowOff>238125</xdr:rowOff>
                  </from>
                  <to>
                    <xdr:col>3</xdr:col>
                    <xdr:colOff>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mportExecute">
                <anchor moveWithCells="1" sizeWithCells="1">
                  <from>
                    <xdr:col>4</xdr:col>
                    <xdr:colOff>0</xdr:colOff>
                    <xdr:row>1</xdr:row>
                    <xdr:rowOff>238125</xdr:rowOff>
                  </from>
                  <to>
                    <xdr:col>6</xdr:col>
                    <xdr:colOff>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exportExecute">
                <anchor moveWithCells="1" sizeWithCells="1">
                  <from>
                    <xdr:col>7</xdr:col>
                    <xdr:colOff>0</xdr:colOff>
                    <xdr:row>1</xdr:row>
                    <xdr:rowOff>238125</xdr:rowOff>
                  </from>
                  <to>
                    <xdr:col>9</xdr:col>
                    <xdr:colOff>0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26"/>
  <sheetViews>
    <sheetView showGridLines="0" workbookViewId="0"/>
  </sheetViews>
  <sheetFormatPr defaultRowHeight="18.75" x14ac:dyDescent="0.4"/>
  <cols>
    <col min="1" max="1" width="3.625" style="31" customWidth="1"/>
    <col min="2" max="2" width="3.625" style="29" customWidth="1"/>
    <col min="3" max="3" width="14.625" style="31" bestFit="1" customWidth="1"/>
    <col min="4" max="15" width="16.125" style="31" customWidth="1"/>
    <col min="16" max="16" width="9" style="31"/>
    <col min="17" max="17" width="19.25" style="35" bestFit="1" customWidth="1"/>
    <col min="18" max="16384" width="9" style="31"/>
  </cols>
  <sheetData>
    <row r="1" spans="1:17" x14ac:dyDescent="0.4">
      <c r="A1" s="29" t="s">
        <v>0</v>
      </c>
    </row>
    <row r="2" spans="1:17" x14ac:dyDescent="0.4">
      <c r="C2" s="25">
        <v>2020</v>
      </c>
      <c r="D2" s="2"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>
        <v>10</v>
      </c>
      <c r="N2" s="3">
        <v>11</v>
      </c>
      <c r="O2" s="4">
        <v>12</v>
      </c>
      <c r="Q2" s="36" t="s">
        <v>1</v>
      </c>
    </row>
    <row r="3" spans="1:17" x14ac:dyDescent="0.4">
      <c r="B3" s="12" t="s">
        <v>2</v>
      </c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4"/>
      <c r="Q3" s="36"/>
    </row>
    <row r="4" spans="1:17" x14ac:dyDescent="0.4">
      <c r="B4" s="11"/>
      <c r="C4" s="5" t="s">
        <v>3</v>
      </c>
      <c r="D4" s="17">
        <f t="shared" ref="D4:O4" si="0">IF(SUM(D8,D12,D16,D20,D24)&lt;&gt;0, SUM(D8,D12,D16,D20,D24), "")</f>
        <v>1798987</v>
      </c>
      <c r="E4" s="17">
        <f t="shared" si="0"/>
        <v>7333238</v>
      </c>
      <c r="F4" s="17">
        <f t="shared" si="0"/>
        <v>7348578</v>
      </c>
      <c r="G4" s="17">
        <f t="shared" si="0"/>
        <v>7486669</v>
      </c>
      <c r="H4" s="17">
        <f t="shared" si="0"/>
        <v>8674887</v>
      </c>
      <c r="I4" s="17">
        <f t="shared" si="0"/>
        <v>8794285</v>
      </c>
      <c r="J4" s="17">
        <f t="shared" si="0"/>
        <v>9052158</v>
      </c>
      <c r="K4" s="17">
        <f t="shared" si="0"/>
        <v>8939333</v>
      </c>
      <c r="L4" s="17">
        <f t="shared" si="0"/>
        <v>8394729</v>
      </c>
      <c r="M4" s="17">
        <f t="shared" si="0"/>
        <v>8647084</v>
      </c>
      <c r="N4" s="17" t="str">
        <f t="shared" si="0"/>
        <v/>
      </c>
      <c r="O4" s="18" t="str">
        <f t="shared" si="0"/>
        <v/>
      </c>
      <c r="Q4" s="36" t="s">
        <v>4</v>
      </c>
    </row>
    <row r="5" spans="1:17" x14ac:dyDescent="0.4">
      <c r="B5" s="11"/>
      <c r="C5" s="6" t="s">
        <v>71</v>
      </c>
      <c r="D5" s="32"/>
      <c r="E5" s="17">
        <f t="shared" ref="E5:O5" si="1">IF(E4&lt;&gt;"", E4-D4, "")</f>
        <v>5534251</v>
      </c>
      <c r="F5" s="17">
        <f t="shared" si="1"/>
        <v>15340</v>
      </c>
      <c r="G5" s="17">
        <f t="shared" si="1"/>
        <v>138091</v>
      </c>
      <c r="H5" s="17">
        <f t="shared" si="1"/>
        <v>1188218</v>
      </c>
      <c r="I5" s="17">
        <f t="shared" si="1"/>
        <v>119398</v>
      </c>
      <c r="J5" s="17">
        <f t="shared" si="1"/>
        <v>257873</v>
      </c>
      <c r="K5" s="17">
        <f t="shared" si="1"/>
        <v>-112825</v>
      </c>
      <c r="L5" s="17">
        <f t="shared" si="1"/>
        <v>-544604</v>
      </c>
      <c r="M5" s="17">
        <f t="shared" si="1"/>
        <v>252355</v>
      </c>
      <c r="N5" s="17" t="str">
        <f t="shared" si="1"/>
        <v/>
      </c>
      <c r="O5" s="18" t="str">
        <f t="shared" si="1"/>
        <v/>
      </c>
      <c r="Q5" s="37" t="s">
        <v>4</v>
      </c>
    </row>
    <row r="6" spans="1:17" x14ac:dyDescent="0.4">
      <c r="B6" s="11"/>
      <c r="C6" s="6" t="s">
        <v>72</v>
      </c>
      <c r="D6" s="32"/>
      <c r="E6" s="17">
        <f t="shared" ref="E6:O6" si="2">IF(E4&lt;&gt;"", E4-$D4,"")</f>
        <v>5534251</v>
      </c>
      <c r="F6" s="17">
        <f t="shared" si="2"/>
        <v>5549591</v>
      </c>
      <c r="G6" s="17">
        <f t="shared" si="2"/>
        <v>5687682</v>
      </c>
      <c r="H6" s="17">
        <f t="shared" si="2"/>
        <v>6875900</v>
      </c>
      <c r="I6" s="17">
        <f t="shared" si="2"/>
        <v>6995298</v>
      </c>
      <c r="J6" s="17">
        <f t="shared" si="2"/>
        <v>7253171</v>
      </c>
      <c r="K6" s="17">
        <f t="shared" si="2"/>
        <v>7140346</v>
      </c>
      <c r="L6" s="17">
        <f t="shared" si="2"/>
        <v>6595742</v>
      </c>
      <c r="M6" s="17">
        <f t="shared" si="2"/>
        <v>6848097</v>
      </c>
      <c r="N6" s="17" t="str">
        <f t="shared" si="2"/>
        <v/>
      </c>
      <c r="O6" s="18" t="str">
        <f t="shared" si="2"/>
        <v/>
      </c>
      <c r="Q6" s="37" t="s">
        <v>4</v>
      </c>
    </row>
    <row r="7" spans="1:17" x14ac:dyDescent="0.4">
      <c r="B7" s="7" t="s">
        <v>5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4"/>
      <c r="Q7" s="36"/>
    </row>
    <row r="8" spans="1:17" x14ac:dyDescent="0.4">
      <c r="B8" s="8"/>
      <c r="C8" s="5" t="s">
        <v>3</v>
      </c>
      <c r="D8" s="15">
        <v>272929</v>
      </c>
      <c r="E8" s="15">
        <v>482393</v>
      </c>
      <c r="F8" s="15">
        <v>441647</v>
      </c>
      <c r="G8" s="15">
        <v>482804</v>
      </c>
      <c r="H8" s="15">
        <v>618701</v>
      </c>
      <c r="I8" s="15">
        <v>182181</v>
      </c>
      <c r="J8" s="15">
        <v>509661</v>
      </c>
      <c r="K8" s="15">
        <v>529022</v>
      </c>
      <c r="L8" s="15">
        <v>466112</v>
      </c>
      <c r="M8" s="15">
        <v>673402</v>
      </c>
      <c r="N8" s="15"/>
      <c r="O8" s="16"/>
      <c r="Q8" s="36"/>
    </row>
    <row r="9" spans="1:17" x14ac:dyDescent="0.4">
      <c r="B9" s="8"/>
      <c r="C9" s="6" t="s">
        <v>71</v>
      </c>
      <c r="D9" s="33"/>
      <c r="E9" s="17">
        <f t="shared" ref="E9:O9" si="3">IF(E8&lt;&gt;"", E8-D8, "")</f>
        <v>209464</v>
      </c>
      <c r="F9" s="17">
        <f t="shared" si="3"/>
        <v>-40746</v>
      </c>
      <c r="G9" s="17">
        <f t="shared" si="3"/>
        <v>41157</v>
      </c>
      <c r="H9" s="17">
        <f t="shared" si="3"/>
        <v>135897</v>
      </c>
      <c r="I9" s="17">
        <f t="shared" si="3"/>
        <v>-436520</v>
      </c>
      <c r="J9" s="17">
        <f t="shared" si="3"/>
        <v>327480</v>
      </c>
      <c r="K9" s="17">
        <f t="shared" si="3"/>
        <v>19361</v>
      </c>
      <c r="L9" s="17">
        <f t="shared" si="3"/>
        <v>-62910</v>
      </c>
      <c r="M9" s="17">
        <f t="shared" si="3"/>
        <v>207290</v>
      </c>
      <c r="N9" s="17" t="str">
        <f t="shared" si="3"/>
        <v/>
      </c>
      <c r="O9" s="18" t="str">
        <f t="shared" si="3"/>
        <v/>
      </c>
      <c r="Q9" s="37" t="s">
        <v>4</v>
      </c>
    </row>
    <row r="10" spans="1:17" x14ac:dyDescent="0.4">
      <c r="B10" s="8"/>
      <c r="C10" s="6" t="s">
        <v>72</v>
      </c>
      <c r="D10" s="32"/>
      <c r="E10" s="17">
        <f t="shared" ref="E10:O10" si="4">IF(E8&lt;&gt;"", E8-$D8,"")</f>
        <v>209464</v>
      </c>
      <c r="F10" s="17">
        <f t="shared" si="4"/>
        <v>168718</v>
      </c>
      <c r="G10" s="17">
        <f t="shared" si="4"/>
        <v>209875</v>
      </c>
      <c r="H10" s="17">
        <f t="shared" si="4"/>
        <v>345772</v>
      </c>
      <c r="I10" s="17">
        <f t="shared" si="4"/>
        <v>-90748</v>
      </c>
      <c r="J10" s="17">
        <f t="shared" si="4"/>
        <v>236732</v>
      </c>
      <c r="K10" s="17">
        <f t="shared" si="4"/>
        <v>256093</v>
      </c>
      <c r="L10" s="17">
        <f t="shared" si="4"/>
        <v>193183</v>
      </c>
      <c r="M10" s="17">
        <f t="shared" si="4"/>
        <v>400473</v>
      </c>
      <c r="N10" s="17" t="str">
        <f t="shared" si="4"/>
        <v/>
      </c>
      <c r="O10" s="18" t="str">
        <f t="shared" si="4"/>
        <v/>
      </c>
      <c r="Q10" s="37" t="s">
        <v>4</v>
      </c>
    </row>
    <row r="11" spans="1:17" x14ac:dyDescent="0.4">
      <c r="B11" s="7" t="s">
        <v>6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4"/>
      <c r="Q11" s="36"/>
    </row>
    <row r="12" spans="1:17" x14ac:dyDescent="0.4">
      <c r="B12" s="8"/>
      <c r="C12" s="5" t="s">
        <v>3</v>
      </c>
      <c r="D12" s="15">
        <v>1526058</v>
      </c>
      <c r="E12" s="15">
        <v>1511654</v>
      </c>
      <c r="F12" s="15">
        <v>1567739</v>
      </c>
      <c r="G12" s="15">
        <v>1664673</v>
      </c>
      <c r="H12" s="15">
        <v>2641194</v>
      </c>
      <c r="I12" s="15">
        <v>2697112</v>
      </c>
      <c r="J12" s="15">
        <v>2608005</v>
      </c>
      <c r="K12" s="15">
        <v>2486297</v>
      </c>
      <c r="L12" s="15">
        <v>2072469</v>
      </c>
      <c r="M12" s="15">
        <v>1537534</v>
      </c>
      <c r="N12" s="15"/>
      <c r="O12" s="16"/>
      <c r="Q12" s="36"/>
    </row>
    <row r="13" spans="1:17" x14ac:dyDescent="0.4">
      <c r="B13" s="8"/>
      <c r="C13" s="6" t="s">
        <v>71</v>
      </c>
      <c r="D13" s="32"/>
      <c r="E13" s="17">
        <f t="shared" ref="E13:O13" si="5">IF(E12&lt;&gt;"", E12-D12, "")</f>
        <v>-14404</v>
      </c>
      <c r="F13" s="17">
        <f t="shared" si="5"/>
        <v>56085</v>
      </c>
      <c r="G13" s="17">
        <f t="shared" si="5"/>
        <v>96934</v>
      </c>
      <c r="H13" s="17">
        <f t="shared" si="5"/>
        <v>976521</v>
      </c>
      <c r="I13" s="17">
        <f t="shared" si="5"/>
        <v>55918</v>
      </c>
      <c r="J13" s="17">
        <f t="shared" si="5"/>
        <v>-89107</v>
      </c>
      <c r="K13" s="17">
        <f t="shared" si="5"/>
        <v>-121708</v>
      </c>
      <c r="L13" s="17">
        <f t="shared" si="5"/>
        <v>-413828</v>
      </c>
      <c r="M13" s="17">
        <f t="shared" si="5"/>
        <v>-534935</v>
      </c>
      <c r="N13" s="17" t="str">
        <f t="shared" si="5"/>
        <v/>
      </c>
      <c r="O13" s="18" t="str">
        <f t="shared" si="5"/>
        <v/>
      </c>
      <c r="Q13" s="37" t="s">
        <v>4</v>
      </c>
    </row>
    <row r="14" spans="1:17" x14ac:dyDescent="0.4">
      <c r="B14" s="8"/>
      <c r="C14" s="6" t="s">
        <v>72</v>
      </c>
      <c r="D14" s="32"/>
      <c r="E14" s="17">
        <f t="shared" ref="E14:O14" si="6">IF(E12&lt;&gt;"", E12-$D12,"")</f>
        <v>-14404</v>
      </c>
      <c r="F14" s="17">
        <f t="shared" si="6"/>
        <v>41681</v>
      </c>
      <c r="G14" s="17">
        <f t="shared" si="6"/>
        <v>138615</v>
      </c>
      <c r="H14" s="17">
        <f t="shared" si="6"/>
        <v>1115136</v>
      </c>
      <c r="I14" s="17">
        <f t="shared" si="6"/>
        <v>1171054</v>
      </c>
      <c r="J14" s="17">
        <f t="shared" si="6"/>
        <v>1081947</v>
      </c>
      <c r="K14" s="17">
        <f t="shared" si="6"/>
        <v>960239</v>
      </c>
      <c r="L14" s="17">
        <f t="shared" si="6"/>
        <v>546411</v>
      </c>
      <c r="M14" s="17">
        <f t="shared" si="6"/>
        <v>11476</v>
      </c>
      <c r="N14" s="17" t="str">
        <f t="shared" si="6"/>
        <v/>
      </c>
      <c r="O14" s="18" t="str">
        <f t="shared" si="6"/>
        <v/>
      </c>
      <c r="Q14" s="37" t="s">
        <v>4</v>
      </c>
    </row>
    <row r="15" spans="1:17" x14ac:dyDescent="0.4">
      <c r="B15" s="7" t="s">
        <v>7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4"/>
      <c r="Q15" s="36"/>
    </row>
    <row r="16" spans="1:17" x14ac:dyDescent="0.4">
      <c r="B16" s="8"/>
      <c r="C16" s="5" t="s">
        <v>3</v>
      </c>
      <c r="D16" s="15"/>
      <c r="E16" s="15">
        <v>10000</v>
      </c>
      <c r="F16" s="15">
        <v>10001</v>
      </c>
      <c r="G16" s="15">
        <v>10001</v>
      </c>
      <c r="H16" s="15">
        <v>75001</v>
      </c>
      <c r="I16" s="15">
        <v>75001</v>
      </c>
      <c r="J16" s="15">
        <v>84801</v>
      </c>
      <c r="K16" s="15">
        <v>84801</v>
      </c>
      <c r="L16" s="15">
        <v>16935</v>
      </c>
      <c r="M16" s="15">
        <v>516935</v>
      </c>
      <c r="N16" s="15"/>
      <c r="O16" s="16"/>
      <c r="Q16" s="36"/>
    </row>
    <row r="17" spans="2:17" x14ac:dyDescent="0.4">
      <c r="B17" s="8"/>
      <c r="C17" s="6" t="s">
        <v>71</v>
      </c>
      <c r="D17" s="32"/>
      <c r="E17" s="17">
        <f t="shared" ref="E17:O17" si="7">IF(E16&lt;&gt;"", E16-D16, "")</f>
        <v>10000</v>
      </c>
      <c r="F17" s="17">
        <f t="shared" si="7"/>
        <v>1</v>
      </c>
      <c r="G17" s="17">
        <f t="shared" si="7"/>
        <v>0</v>
      </c>
      <c r="H17" s="17">
        <f t="shared" si="7"/>
        <v>65000</v>
      </c>
      <c r="I17" s="17">
        <f t="shared" si="7"/>
        <v>0</v>
      </c>
      <c r="J17" s="17">
        <f t="shared" si="7"/>
        <v>9800</v>
      </c>
      <c r="K17" s="17">
        <f t="shared" si="7"/>
        <v>0</v>
      </c>
      <c r="L17" s="17">
        <f t="shared" si="7"/>
        <v>-67866</v>
      </c>
      <c r="M17" s="17">
        <f t="shared" si="7"/>
        <v>500000</v>
      </c>
      <c r="N17" s="17" t="str">
        <f t="shared" si="7"/>
        <v/>
      </c>
      <c r="O17" s="18" t="str">
        <f t="shared" si="7"/>
        <v/>
      </c>
      <c r="Q17" s="37" t="s">
        <v>4</v>
      </c>
    </row>
    <row r="18" spans="2:17" x14ac:dyDescent="0.4">
      <c r="B18" s="8"/>
      <c r="C18" s="6" t="s">
        <v>72</v>
      </c>
      <c r="D18" s="32"/>
      <c r="E18" s="17">
        <f t="shared" ref="E18:O18" si="8">IF(E16&lt;&gt;"", E16-$D16,"")</f>
        <v>10000</v>
      </c>
      <c r="F18" s="17">
        <f t="shared" si="8"/>
        <v>10001</v>
      </c>
      <c r="G18" s="17">
        <f t="shared" si="8"/>
        <v>10001</v>
      </c>
      <c r="H18" s="17">
        <f t="shared" si="8"/>
        <v>75001</v>
      </c>
      <c r="I18" s="17">
        <f t="shared" si="8"/>
        <v>75001</v>
      </c>
      <c r="J18" s="17">
        <f t="shared" si="8"/>
        <v>84801</v>
      </c>
      <c r="K18" s="17">
        <f t="shared" si="8"/>
        <v>84801</v>
      </c>
      <c r="L18" s="17">
        <f t="shared" si="8"/>
        <v>16935</v>
      </c>
      <c r="M18" s="17">
        <f t="shared" si="8"/>
        <v>516935</v>
      </c>
      <c r="N18" s="17" t="str">
        <f t="shared" si="8"/>
        <v/>
      </c>
      <c r="O18" s="18" t="str">
        <f t="shared" si="8"/>
        <v/>
      </c>
      <c r="Q18" s="37" t="s">
        <v>4</v>
      </c>
    </row>
    <row r="19" spans="2:17" x14ac:dyDescent="0.4">
      <c r="B19" s="7" t="s">
        <v>8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4"/>
      <c r="Q19" s="36"/>
    </row>
    <row r="20" spans="2:17" x14ac:dyDescent="0.4">
      <c r="B20" s="8"/>
      <c r="C20" s="5" t="s">
        <v>3</v>
      </c>
      <c r="D20" s="15"/>
      <c r="E20" s="15"/>
      <c r="F20" s="15"/>
      <c r="G20" s="15"/>
      <c r="H20" s="15">
        <v>10800</v>
      </c>
      <c r="I20" s="15">
        <v>10800</v>
      </c>
      <c r="J20" s="15">
        <v>20500</v>
      </c>
      <c r="K20" s="15">
        <v>0</v>
      </c>
      <c r="L20" s="15"/>
      <c r="M20" s="15"/>
      <c r="N20" s="15"/>
      <c r="O20" s="16"/>
      <c r="Q20" s="36"/>
    </row>
    <row r="21" spans="2:17" x14ac:dyDescent="0.4">
      <c r="B21" s="8"/>
      <c r="C21" s="6" t="s">
        <v>71</v>
      </c>
      <c r="D21" s="34"/>
      <c r="E21" s="15" t="str">
        <f t="shared" ref="E21:O21" si="9">IF(E20&lt;&gt;"", E20-D20, "")</f>
        <v/>
      </c>
      <c r="F21" s="15" t="str">
        <f t="shared" si="9"/>
        <v/>
      </c>
      <c r="G21" s="15" t="str">
        <f t="shared" si="9"/>
        <v/>
      </c>
      <c r="H21" s="15">
        <f t="shared" si="9"/>
        <v>10800</v>
      </c>
      <c r="I21" s="15">
        <f t="shared" si="9"/>
        <v>0</v>
      </c>
      <c r="J21" s="15">
        <f t="shared" si="9"/>
        <v>9700</v>
      </c>
      <c r="K21" s="15">
        <f t="shared" si="9"/>
        <v>-20500</v>
      </c>
      <c r="L21" s="15" t="str">
        <f t="shared" si="9"/>
        <v/>
      </c>
      <c r="M21" s="15" t="str">
        <f t="shared" si="9"/>
        <v/>
      </c>
      <c r="N21" s="15" t="str">
        <f t="shared" si="9"/>
        <v/>
      </c>
      <c r="O21" s="16" t="str">
        <f t="shared" si="9"/>
        <v/>
      </c>
      <c r="Q21" s="37" t="s">
        <v>4</v>
      </c>
    </row>
    <row r="22" spans="2:17" x14ac:dyDescent="0.4">
      <c r="B22" s="10"/>
      <c r="C22" s="6" t="s">
        <v>72</v>
      </c>
      <c r="D22" s="34"/>
      <c r="E22" s="15" t="str">
        <f t="shared" ref="E22:O22" si="10">IF(E20&lt;&gt;"", E20-$D20,"")</f>
        <v/>
      </c>
      <c r="F22" s="15" t="str">
        <f t="shared" si="10"/>
        <v/>
      </c>
      <c r="G22" s="15" t="str">
        <f t="shared" si="10"/>
        <v/>
      </c>
      <c r="H22" s="15">
        <f t="shared" si="10"/>
        <v>10800</v>
      </c>
      <c r="I22" s="15">
        <f t="shared" si="10"/>
        <v>10800</v>
      </c>
      <c r="J22" s="15">
        <f t="shared" si="10"/>
        <v>20500</v>
      </c>
      <c r="K22" s="15">
        <f t="shared" si="10"/>
        <v>0</v>
      </c>
      <c r="L22" s="15" t="str">
        <f t="shared" si="10"/>
        <v/>
      </c>
      <c r="M22" s="15" t="str">
        <f t="shared" si="10"/>
        <v/>
      </c>
      <c r="N22" s="15" t="str">
        <f t="shared" si="10"/>
        <v/>
      </c>
      <c r="O22" s="16" t="str">
        <f t="shared" si="10"/>
        <v/>
      </c>
      <c r="Q22" s="37" t="s">
        <v>4</v>
      </c>
    </row>
    <row r="23" spans="2:17" x14ac:dyDescent="0.4">
      <c r="B23" s="7" t="s">
        <v>9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4"/>
      <c r="Q23" s="36"/>
    </row>
    <row r="24" spans="2:17" x14ac:dyDescent="0.4">
      <c r="B24" s="8"/>
      <c r="C24" s="5" t="s">
        <v>3</v>
      </c>
      <c r="D24" s="15"/>
      <c r="E24" s="15">
        <v>5329191</v>
      </c>
      <c r="F24" s="15">
        <v>5329191</v>
      </c>
      <c r="G24" s="15">
        <v>5329191</v>
      </c>
      <c r="H24" s="15">
        <v>5329191</v>
      </c>
      <c r="I24" s="15">
        <v>5829191</v>
      </c>
      <c r="J24" s="15">
        <v>5829191</v>
      </c>
      <c r="K24" s="15">
        <v>5839213</v>
      </c>
      <c r="L24" s="15">
        <v>5839213</v>
      </c>
      <c r="M24" s="15">
        <v>5919213</v>
      </c>
      <c r="N24" s="15"/>
      <c r="O24" s="16"/>
      <c r="Q24" s="36"/>
    </row>
    <row r="25" spans="2:17" x14ac:dyDescent="0.4">
      <c r="B25" s="8"/>
      <c r="C25" s="6" t="s">
        <v>71</v>
      </c>
      <c r="D25" s="34"/>
      <c r="E25" s="15">
        <f t="shared" ref="E25:O25" si="11">IF(E24&lt;&gt;"", E24-D24, "")</f>
        <v>5329191</v>
      </c>
      <c r="F25" s="15">
        <f t="shared" si="11"/>
        <v>0</v>
      </c>
      <c r="G25" s="15">
        <f t="shared" si="11"/>
        <v>0</v>
      </c>
      <c r="H25" s="15">
        <f t="shared" si="11"/>
        <v>0</v>
      </c>
      <c r="I25" s="15">
        <f t="shared" si="11"/>
        <v>500000</v>
      </c>
      <c r="J25" s="15">
        <f t="shared" si="11"/>
        <v>0</v>
      </c>
      <c r="K25" s="15">
        <f t="shared" si="11"/>
        <v>10022</v>
      </c>
      <c r="L25" s="15">
        <f t="shared" si="11"/>
        <v>0</v>
      </c>
      <c r="M25" s="15">
        <f t="shared" si="11"/>
        <v>80000</v>
      </c>
      <c r="N25" s="15" t="str">
        <f t="shared" si="11"/>
        <v/>
      </c>
      <c r="O25" s="16" t="str">
        <f t="shared" si="11"/>
        <v/>
      </c>
      <c r="Q25" s="37" t="s">
        <v>4</v>
      </c>
    </row>
    <row r="26" spans="2:17" x14ac:dyDescent="0.4">
      <c r="B26" s="10"/>
      <c r="C26" s="6" t="s">
        <v>72</v>
      </c>
      <c r="D26" s="34"/>
      <c r="E26" s="15">
        <f t="shared" ref="E26:O26" si="12">IF(E24&lt;&gt;"", E24-$D24,"")</f>
        <v>5329191</v>
      </c>
      <c r="F26" s="15">
        <f t="shared" si="12"/>
        <v>5329191</v>
      </c>
      <c r="G26" s="15">
        <f t="shared" si="12"/>
        <v>5329191</v>
      </c>
      <c r="H26" s="15">
        <f t="shared" si="12"/>
        <v>5329191</v>
      </c>
      <c r="I26" s="15">
        <f t="shared" si="12"/>
        <v>5829191</v>
      </c>
      <c r="J26" s="15">
        <f t="shared" si="12"/>
        <v>5829191</v>
      </c>
      <c r="K26" s="15">
        <f t="shared" si="12"/>
        <v>5839213</v>
      </c>
      <c r="L26" s="15">
        <f t="shared" si="12"/>
        <v>5839213</v>
      </c>
      <c r="M26" s="15">
        <f t="shared" si="12"/>
        <v>5919213</v>
      </c>
      <c r="N26" s="15" t="str">
        <f t="shared" si="12"/>
        <v/>
      </c>
      <c r="O26" s="16" t="str">
        <f t="shared" si="12"/>
        <v/>
      </c>
      <c r="Q26" s="37" t="s">
        <v>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26"/>
  <sheetViews>
    <sheetView showGridLines="0" workbookViewId="0">
      <selection activeCell="G19" sqref="G19"/>
    </sheetView>
  </sheetViews>
  <sheetFormatPr defaultRowHeight="18.75" x14ac:dyDescent="0.4"/>
  <cols>
    <col min="1" max="2" width="3.625" style="29" customWidth="1"/>
    <col min="3" max="3" width="14.625" style="31" customWidth="1"/>
    <col min="4" max="15" width="11.25" style="31" customWidth="1"/>
    <col min="16" max="16" width="9" style="31"/>
    <col min="17" max="17" width="19.25" style="36" bestFit="1" customWidth="1"/>
    <col min="18" max="16384" width="9" style="31"/>
  </cols>
  <sheetData>
    <row r="1" spans="1:17" x14ac:dyDescent="0.4">
      <c r="A1" s="29" t="s">
        <v>10</v>
      </c>
    </row>
    <row r="2" spans="1:17" x14ac:dyDescent="0.4">
      <c r="C2" s="25">
        <v>2020</v>
      </c>
      <c r="D2" s="19">
        <v>1</v>
      </c>
      <c r="E2" s="20">
        <v>2</v>
      </c>
      <c r="F2" s="20">
        <v>3</v>
      </c>
      <c r="G2" s="20">
        <v>4</v>
      </c>
      <c r="H2" s="20">
        <v>5</v>
      </c>
      <c r="I2" s="20">
        <v>6</v>
      </c>
      <c r="J2" s="20">
        <v>7</v>
      </c>
      <c r="K2" s="20">
        <v>8</v>
      </c>
      <c r="L2" s="20">
        <v>9</v>
      </c>
      <c r="M2" s="20">
        <v>10</v>
      </c>
      <c r="N2" s="20">
        <v>11</v>
      </c>
      <c r="O2" s="21">
        <v>12</v>
      </c>
      <c r="Q2" s="36" t="s">
        <v>1</v>
      </c>
    </row>
    <row r="3" spans="1:17" x14ac:dyDescent="0.4">
      <c r="B3" s="7" t="s">
        <v>11</v>
      </c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</row>
    <row r="4" spans="1:17" x14ac:dyDescent="0.4">
      <c r="B4" s="8"/>
      <c r="C4" s="5" t="s">
        <v>12</v>
      </c>
      <c r="D4" s="15">
        <v>14059</v>
      </c>
      <c r="E4" s="15">
        <v>11141</v>
      </c>
      <c r="F4" s="15">
        <v>10488</v>
      </c>
      <c r="G4" s="15">
        <v>9408</v>
      </c>
      <c r="H4" s="15">
        <v>8177</v>
      </c>
      <c r="I4" s="15">
        <v>5835</v>
      </c>
      <c r="J4" s="15">
        <v>6508</v>
      </c>
      <c r="K4" s="15">
        <v>4987</v>
      </c>
      <c r="L4" s="15"/>
      <c r="M4" s="15"/>
      <c r="N4" s="15"/>
      <c r="O4" s="16"/>
    </row>
    <row r="5" spans="1:17" x14ac:dyDescent="0.4">
      <c r="B5" s="8"/>
      <c r="C5" s="22" t="s">
        <v>13</v>
      </c>
      <c r="D5" s="15">
        <f t="shared" ref="D5:O5" si="0">IF(D4&lt;&gt;"",ROUNDDOWN(D4*0.4,0),"")</f>
        <v>5623</v>
      </c>
      <c r="E5" s="15">
        <f t="shared" si="0"/>
        <v>4456</v>
      </c>
      <c r="F5" s="15">
        <f t="shared" si="0"/>
        <v>4195</v>
      </c>
      <c r="G5" s="15">
        <f t="shared" si="0"/>
        <v>3763</v>
      </c>
      <c r="H5" s="15">
        <f t="shared" si="0"/>
        <v>3270</v>
      </c>
      <c r="I5" s="15">
        <f t="shared" si="0"/>
        <v>2334</v>
      </c>
      <c r="J5" s="15">
        <f t="shared" si="0"/>
        <v>2603</v>
      </c>
      <c r="K5" s="15">
        <f t="shared" si="0"/>
        <v>1994</v>
      </c>
      <c r="L5" s="15" t="str">
        <f t="shared" si="0"/>
        <v/>
      </c>
      <c r="M5" s="15" t="str">
        <f t="shared" si="0"/>
        <v/>
      </c>
      <c r="N5" s="15" t="str">
        <f t="shared" si="0"/>
        <v/>
      </c>
      <c r="O5" s="16" t="str">
        <f t="shared" si="0"/>
        <v/>
      </c>
      <c r="Q5" s="37" t="s">
        <v>4</v>
      </c>
    </row>
    <row r="6" spans="1:17" x14ac:dyDescent="0.4">
      <c r="B6" s="9"/>
      <c r="C6" s="22" t="s">
        <v>14</v>
      </c>
      <c r="D6" s="15">
        <f t="shared" ref="D6:O6" si="1">IF(D4&lt;&gt;"",D4-D5,"")</f>
        <v>8436</v>
      </c>
      <c r="E6" s="15">
        <f t="shared" si="1"/>
        <v>6685</v>
      </c>
      <c r="F6" s="15">
        <f t="shared" si="1"/>
        <v>6293</v>
      </c>
      <c r="G6" s="15">
        <f t="shared" si="1"/>
        <v>5645</v>
      </c>
      <c r="H6" s="15">
        <f t="shared" si="1"/>
        <v>4907</v>
      </c>
      <c r="I6" s="15">
        <f t="shared" si="1"/>
        <v>3501</v>
      </c>
      <c r="J6" s="15">
        <f t="shared" si="1"/>
        <v>3905</v>
      </c>
      <c r="K6" s="15">
        <f t="shared" si="1"/>
        <v>2993</v>
      </c>
      <c r="L6" s="15" t="str">
        <f t="shared" si="1"/>
        <v/>
      </c>
      <c r="M6" s="15" t="str">
        <f t="shared" si="1"/>
        <v/>
      </c>
      <c r="N6" s="15" t="str">
        <f t="shared" si="1"/>
        <v/>
      </c>
      <c r="O6" s="16" t="str">
        <f t="shared" si="1"/>
        <v/>
      </c>
      <c r="Q6" s="37" t="s">
        <v>4</v>
      </c>
    </row>
    <row r="7" spans="1:17" x14ac:dyDescent="0.4">
      <c r="B7" s="7" t="s">
        <v>15</v>
      </c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1"/>
    </row>
    <row r="8" spans="1:17" x14ac:dyDescent="0.4">
      <c r="B8" s="8"/>
      <c r="C8" s="5" t="s">
        <v>12</v>
      </c>
      <c r="D8" s="15">
        <v>16804</v>
      </c>
      <c r="E8" s="15">
        <v>16078</v>
      </c>
      <c r="F8" s="15">
        <v>14788</v>
      </c>
      <c r="G8" s="15">
        <v>14933</v>
      </c>
      <c r="H8" s="15"/>
      <c r="I8" s="15">
        <v>8467</v>
      </c>
      <c r="J8" s="15">
        <v>8393</v>
      </c>
      <c r="K8" s="15">
        <v>9616</v>
      </c>
      <c r="L8" s="15">
        <v>11165</v>
      </c>
      <c r="M8" s="15"/>
      <c r="N8" s="15"/>
      <c r="O8" s="16"/>
    </row>
    <row r="9" spans="1:17" x14ac:dyDescent="0.4">
      <c r="B9" s="8"/>
      <c r="C9" s="22" t="s">
        <v>13</v>
      </c>
      <c r="D9" s="15">
        <f t="shared" ref="D9:O9" si="2">IF(D8&lt;&gt;"",ROUNDDOWN(D8*0.4,0),"")</f>
        <v>6721</v>
      </c>
      <c r="E9" s="15">
        <f t="shared" si="2"/>
        <v>6431</v>
      </c>
      <c r="F9" s="15">
        <f t="shared" si="2"/>
        <v>5915</v>
      </c>
      <c r="G9" s="15">
        <f t="shared" si="2"/>
        <v>5973</v>
      </c>
      <c r="H9" s="15" t="str">
        <f t="shared" si="2"/>
        <v/>
      </c>
      <c r="I9" s="15">
        <f t="shared" si="2"/>
        <v>3386</v>
      </c>
      <c r="J9" s="15">
        <f t="shared" si="2"/>
        <v>3357</v>
      </c>
      <c r="K9" s="15">
        <f t="shared" si="2"/>
        <v>3846</v>
      </c>
      <c r="L9" s="15">
        <f t="shared" si="2"/>
        <v>4466</v>
      </c>
      <c r="M9" s="15" t="str">
        <f t="shared" si="2"/>
        <v/>
      </c>
      <c r="N9" s="15" t="str">
        <f t="shared" si="2"/>
        <v/>
      </c>
      <c r="O9" s="16" t="str">
        <f t="shared" si="2"/>
        <v/>
      </c>
      <c r="Q9" s="37" t="s">
        <v>4</v>
      </c>
    </row>
    <row r="10" spans="1:17" x14ac:dyDescent="0.4">
      <c r="B10" s="9"/>
      <c r="C10" s="22" t="s">
        <v>14</v>
      </c>
      <c r="D10" s="15">
        <f t="shared" ref="D10:O10" si="3">IF(D8&lt;&gt;"",D8-D9,"")</f>
        <v>10083</v>
      </c>
      <c r="E10" s="15">
        <f t="shared" si="3"/>
        <v>9647</v>
      </c>
      <c r="F10" s="15">
        <f t="shared" si="3"/>
        <v>8873</v>
      </c>
      <c r="G10" s="15">
        <f t="shared" si="3"/>
        <v>8960</v>
      </c>
      <c r="H10" s="15" t="str">
        <f t="shared" si="3"/>
        <v/>
      </c>
      <c r="I10" s="15">
        <f t="shared" si="3"/>
        <v>5081</v>
      </c>
      <c r="J10" s="15">
        <f t="shared" si="3"/>
        <v>5036</v>
      </c>
      <c r="K10" s="15">
        <f t="shared" si="3"/>
        <v>5770</v>
      </c>
      <c r="L10" s="15">
        <f t="shared" si="3"/>
        <v>6699</v>
      </c>
      <c r="M10" s="15" t="str">
        <f t="shared" si="3"/>
        <v/>
      </c>
      <c r="N10" s="15" t="str">
        <f t="shared" si="3"/>
        <v/>
      </c>
      <c r="O10" s="16" t="str">
        <f t="shared" si="3"/>
        <v/>
      </c>
      <c r="Q10" s="37" t="s">
        <v>4</v>
      </c>
    </row>
    <row r="11" spans="1:17" x14ac:dyDescent="0.4">
      <c r="B11" s="7" t="s">
        <v>16</v>
      </c>
      <c r="C11" s="20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4"/>
    </row>
    <row r="12" spans="1:17" x14ac:dyDescent="0.4">
      <c r="B12" s="8"/>
      <c r="C12" s="5" t="s">
        <v>12</v>
      </c>
      <c r="D12" s="15"/>
      <c r="E12" s="15">
        <v>26431</v>
      </c>
      <c r="F12" s="15"/>
      <c r="G12" s="15">
        <v>24259</v>
      </c>
      <c r="H12" s="15"/>
      <c r="I12" s="15">
        <v>24259</v>
      </c>
      <c r="J12" s="15"/>
      <c r="K12" s="15">
        <v>24802</v>
      </c>
      <c r="L12" s="15"/>
      <c r="M12" s="15">
        <v>26974</v>
      </c>
      <c r="N12" s="15"/>
      <c r="O12" s="16"/>
    </row>
    <row r="13" spans="1:17" x14ac:dyDescent="0.4">
      <c r="B13" s="8"/>
      <c r="C13" s="22" t="s">
        <v>13</v>
      </c>
      <c r="D13" s="15" t="str">
        <f t="shared" ref="D13:O13" si="4">IF(D12&lt;&gt;"",ROUNDDOWN(D12*0.4,0),"")</f>
        <v/>
      </c>
      <c r="E13" s="15">
        <f t="shared" si="4"/>
        <v>10572</v>
      </c>
      <c r="F13" s="15" t="str">
        <f t="shared" si="4"/>
        <v/>
      </c>
      <c r="G13" s="15">
        <f t="shared" si="4"/>
        <v>9703</v>
      </c>
      <c r="H13" s="15" t="str">
        <f t="shared" si="4"/>
        <v/>
      </c>
      <c r="I13" s="15">
        <f t="shared" si="4"/>
        <v>9703</v>
      </c>
      <c r="J13" s="15" t="str">
        <f t="shared" si="4"/>
        <v/>
      </c>
      <c r="K13" s="15">
        <f t="shared" si="4"/>
        <v>9920</v>
      </c>
      <c r="L13" s="15" t="str">
        <f t="shared" si="4"/>
        <v/>
      </c>
      <c r="M13" s="15">
        <f t="shared" si="4"/>
        <v>10789</v>
      </c>
      <c r="N13" s="15" t="str">
        <f t="shared" si="4"/>
        <v/>
      </c>
      <c r="O13" s="16" t="str">
        <f t="shared" si="4"/>
        <v/>
      </c>
      <c r="Q13" s="37" t="s">
        <v>4</v>
      </c>
    </row>
    <row r="14" spans="1:17" x14ac:dyDescent="0.4">
      <c r="B14" s="9"/>
      <c r="C14" s="22" t="s">
        <v>14</v>
      </c>
      <c r="D14" s="15" t="str">
        <f t="shared" ref="D14:O14" si="5">IF(D12&lt;&gt;"",D12-D13,"")</f>
        <v/>
      </c>
      <c r="E14" s="15">
        <f t="shared" si="5"/>
        <v>15859</v>
      </c>
      <c r="F14" s="15" t="str">
        <f t="shared" si="5"/>
        <v/>
      </c>
      <c r="G14" s="15">
        <f t="shared" si="5"/>
        <v>14556</v>
      </c>
      <c r="H14" s="15" t="str">
        <f t="shared" si="5"/>
        <v/>
      </c>
      <c r="I14" s="15">
        <f t="shared" si="5"/>
        <v>14556</v>
      </c>
      <c r="J14" s="15" t="str">
        <f t="shared" si="5"/>
        <v/>
      </c>
      <c r="K14" s="15">
        <f t="shared" si="5"/>
        <v>14882</v>
      </c>
      <c r="L14" s="15" t="str">
        <f t="shared" si="5"/>
        <v/>
      </c>
      <c r="M14" s="15">
        <f t="shared" si="5"/>
        <v>16185</v>
      </c>
      <c r="N14" s="15" t="str">
        <f t="shared" si="5"/>
        <v/>
      </c>
      <c r="O14" s="16" t="str">
        <f t="shared" si="5"/>
        <v/>
      </c>
      <c r="Q14" s="37" t="s">
        <v>4</v>
      </c>
    </row>
    <row r="17" spans="17:17" x14ac:dyDescent="0.4">
      <c r="Q17" s="37"/>
    </row>
    <row r="18" spans="17:17" x14ac:dyDescent="0.4">
      <c r="Q18" s="37"/>
    </row>
    <row r="21" spans="17:17" x14ac:dyDescent="0.4">
      <c r="Q21" s="37"/>
    </row>
    <row r="22" spans="17:17" x14ac:dyDescent="0.4">
      <c r="Q22" s="37"/>
    </row>
    <row r="25" spans="17:17" x14ac:dyDescent="0.4">
      <c r="Q25" s="37"/>
    </row>
    <row r="26" spans="17:17" x14ac:dyDescent="0.4">
      <c r="Q26" s="3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458"/>
  <sheetViews>
    <sheetView workbookViewId="0">
      <selection activeCell="G35" sqref="G35"/>
    </sheetView>
  </sheetViews>
  <sheetFormatPr defaultRowHeight="18.75" x14ac:dyDescent="0.4"/>
  <cols>
    <col min="1" max="1" width="11.375" style="1" bestFit="1" customWidth="1"/>
    <col min="2" max="2" width="11" style="1" bestFit="1" customWidth="1"/>
    <col min="3" max="3" width="23.5" style="1" bestFit="1" customWidth="1"/>
    <col min="4" max="6" width="8" style="1" bestFit="1" customWidth="1"/>
    <col min="7" max="7" width="7.25" style="1" bestFit="1" customWidth="1"/>
    <col min="8" max="8" width="15" style="1" bestFit="1" customWidth="1"/>
    <col min="9" max="9" width="11" style="1" bestFit="1" customWidth="1"/>
    <col min="10" max="34" width="9" style="1" customWidth="1"/>
    <col min="35" max="16384" width="9" style="1"/>
  </cols>
  <sheetData>
    <row r="1" spans="1:9" x14ac:dyDescent="0.4">
      <c r="A1" s="26" t="s">
        <v>17</v>
      </c>
    </row>
    <row r="2" spans="1:9" x14ac:dyDescent="0.4">
      <c r="A2" s="30" t="s">
        <v>18</v>
      </c>
      <c r="B2" s="30" t="s">
        <v>19</v>
      </c>
      <c r="C2" s="30" t="s">
        <v>20</v>
      </c>
      <c r="D2" s="30" t="s">
        <v>21</v>
      </c>
      <c r="E2" s="30" t="s">
        <v>22</v>
      </c>
      <c r="F2" s="30" t="s">
        <v>23</v>
      </c>
      <c r="G2" s="30" t="s">
        <v>24</v>
      </c>
      <c r="H2" s="30" t="s">
        <v>25</v>
      </c>
      <c r="I2" s="30" t="s">
        <v>26</v>
      </c>
    </row>
    <row r="3" spans="1:9" x14ac:dyDescent="0.4">
      <c r="A3" s="41">
        <v>43831</v>
      </c>
      <c r="B3" s="1" t="s">
        <v>128</v>
      </c>
      <c r="C3" s="1" t="s">
        <v>129</v>
      </c>
      <c r="D3" s="42"/>
      <c r="E3" s="42">
        <v>300000</v>
      </c>
      <c r="F3" s="42">
        <v>524378</v>
      </c>
      <c r="I3" s="1" t="s">
        <v>140</v>
      </c>
    </row>
    <row r="4" spans="1:9" x14ac:dyDescent="0.4">
      <c r="A4" s="41">
        <v>43836</v>
      </c>
      <c r="B4" s="1" t="s">
        <v>163</v>
      </c>
      <c r="C4" s="1" t="s">
        <v>164</v>
      </c>
      <c r="D4" s="42">
        <v>16760</v>
      </c>
      <c r="F4" s="42">
        <v>507618</v>
      </c>
      <c r="I4" s="1" t="s">
        <v>125</v>
      </c>
    </row>
    <row r="5" spans="1:9" x14ac:dyDescent="0.4">
      <c r="A5" s="41">
        <v>43836</v>
      </c>
      <c r="B5" s="1" t="s">
        <v>163</v>
      </c>
      <c r="C5" s="1" t="s">
        <v>164</v>
      </c>
      <c r="D5" s="42">
        <v>16760</v>
      </c>
      <c r="F5" s="42">
        <v>490858</v>
      </c>
      <c r="I5" s="1" t="s">
        <v>125</v>
      </c>
    </row>
    <row r="6" spans="1:9" x14ac:dyDescent="0.4">
      <c r="A6" s="41">
        <v>43844</v>
      </c>
      <c r="B6" s="1" t="s">
        <v>165</v>
      </c>
      <c r="D6" s="42">
        <v>65000</v>
      </c>
      <c r="F6" s="42">
        <v>425858</v>
      </c>
      <c r="I6" s="1" t="s">
        <v>150</v>
      </c>
    </row>
    <row r="7" spans="1:9" x14ac:dyDescent="0.4">
      <c r="A7" s="41">
        <v>43857</v>
      </c>
      <c r="B7" s="1" t="s">
        <v>166</v>
      </c>
      <c r="D7" s="42">
        <v>63533</v>
      </c>
      <c r="F7" s="42">
        <v>362325</v>
      </c>
      <c r="I7" s="1" t="s">
        <v>125</v>
      </c>
    </row>
    <row r="8" spans="1:9" x14ac:dyDescent="0.4">
      <c r="A8" s="41">
        <v>43861</v>
      </c>
      <c r="B8" s="1" t="s">
        <v>130</v>
      </c>
      <c r="C8" s="1" t="s">
        <v>167</v>
      </c>
      <c r="D8" s="42">
        <v>576</v>
      </c>
      <c r="F8" s="42">
        <v>361749</v>
      </c>
      <c r="I8" s="1" t="s">
        <v>125</v>
      </c>
    </row>
    <row r="9" spans="1:9" x14ac:dyDescent="0.4">
      <c r="A9" s="41">
        <v>43861</v>
      </c>
      <c r="B9" s="1" t="s">
        <v>163</v>
      </c>
      <c r="C9" s="1" t="s">
        <v>164</v>
      </c>
      <c r="D9" s="42">
        <v>16760</v>
      </c>
      <c r="F9" s="42">
        <v>344989</v>
      </c>
      <c r="I9" s="1" t="s">
        <v>125</v>
      </c>
    </row>
    <row r="10" spans="1:9" x14ac:dyDescent="0.4">
      <c r="A10" s="41">
        <v>43861</v>
      </c>
      <c r="B10" s="1" t="s">
        <v>163</v>
      </c>
      <c r="C10" s="1" t="s">
        <v>164</v>
      </c>
      <c r="D10" s="42">
        <v>16760</v>
      </c>
      <c r="F10" s="42">
        <v>328229</v>
      </c>
      <c r="I10" s="1" t="s">
        <v>125</v>
      </c>
    </row>
    <row r="11" spans="1:9" x14ac:dyDescent="0.4">
      <c r="A11" s="41">
        <v>43861</v>
      </c>
      <c r="B11" s="1" t="s">
        <v>130</v>
      </c>
      <c r="C11" s="1" t="s">
        <v>168</v>
      </c>
      <c r="D11" s="42">
        <v>55300</v>
      </c>
      <c r="F11" s="42">
        <v>272929</v>
      </c>
      <c r="I11" s="1" t="s">
        <v>125</v>
      </c>
    </row>
    <row r="12" spans="1:9" x14ac:dyDescent="0.4">
      <c r="A12" s="41">
        <v>43862</v>
      </c>
      <c r="B12" s="1" t="s">
        <v>128</v>
      </c>
      <c r="C12" s="1" t="s">
        <v>129</v>
      </c>
      <c r="E12" s="42">
        <v>300000</v>
      </c>
      <c r="F12" s="42">
        <v>572929</v>
      </c>
      <c r="I12" s="1" t="s">
        <v>140</v>
      </c>
    </row>
    <row r="13" spans="1:9" x14ac:dyDescent="0.4">
      <c r="A13" s="41">
        <v>43878</v>
      </c>
      <c r="B13" s="1" t="s">
        <v>143</v>
      </c>
      <c r="C13" s="1" t="s">
        <v>169</v>
      </c>
      <c r="D13" s="42"/>
      <c r="E13" s="1">
        <v>2</v>
      </c>
      <c r="F13" s="42">
        <v>572931</v>
      </c>
      <c r="I13" s="1" t="s">
        <v>140</v>
      </c>
    </row>
    <row r="14" spans="1:9" x14ac:dyDescent="0.4">
      <c r="A14" s="41">
        <v>43878</v>
      </c>
      <c r="B14" s="1" t="s">
        <v>16</v>
      </c>
      <c r="C14" s="1" t="s">
        <v>170</v>
      </c>
      <c r="D14" s="42">
        <v>26431</v>
      </c>
      <c r="F14" s="42">
        <v>546500</v>
      </c>
      <c r="I14" s="1" t="s">
        <v>125</v>
      </c>
    </row>
    <row r="15" spans="1:9" x14ac:dyDescent="0.4">
      <c r="A15" s="41">
        <v>43887</v>
      </c>
      <c r="B15" s="1" t="s">
        <v>166</v>
      </c>
      <c r="D15" s="42">
        <v>63533</v>
      </c>
      <c r="F15" s="42">
        <v>482967</v>
      </c>
      <c r="I15" s="1" t="s">
        <v>125</v>
      </c>
    </row>
    <row r="16" spans="1:9" x14ac:dyDescent="0.4">
      <c r="A16" s="41">
        <v>43889</v>
      </c>
      <c r="B16" s="1" t="s">
        <v>130</v>
      </c>
      <c r="C16" s="1" t="s">
        <v>167</v>
      </c>
      <c r="D16" s="42">
        <v>574</v>
      </c>
      <c r="F16" s="42">
        <v>482393</v>
      </c>
      <c r="I16" s="1" t="s">
        <v>125</v>
      </c>
    </row>
    <row r="17" spans="1:9" x14ac:dyDescent="0.4">
      <c r="A17" s="41">
        <v>43891</v>
      </c>
      <c r="B17" s="1" t="s">
        <v>128</v>
      </c>
      <c r="C17" s="1" t="s">
        <v>129</v>
      </c>
      <c r="D17" s="42"/>
      <c r="E17" s="42">
        <v>201000</v>
      </c>
      <c r="F17" s="42">
        <v>683393</v>
      </c>
      <c r="I17" s="1" t="s">
        <v>140</v>
      </c>
    </row>
    <row r="18" spans="1:9" x14ac:dyDescent="0.4">
      <c r="A18" s="41">
        <v>43892</v>
      </c>
      <c r="B18" s="1" t="s">
        <v>163</v>
      </c>
      <c r="C18" s="1" t="s">
        <v>164</v>
      </c>
      <c r="D18" s="42">
        <v>16760</v>
      </c>
      <c r="F18" s="42">
        <v>666633</v>
      </c>
      <c r="I18" s="1" t="s">
        <v>125</v>
      </c>
    </row>
    <row r="19" spans="1:9" x14ac:dyDescent="0.4">
      <c r="A19" s="41">
        <v>43892</v>
      </c>
      <c r="B19" s="1" t="s">
        <v>163</v>
      </c>
      <c r="C19" s="1" t="s">
        <v>164</v>
      </c>
      <c r="D19" s="42">
        <v>16760</v>
      </c>
      <c r="F19" s="42">
        <v>649873</v>
      </c>
      <c r="I19" s="1" t="s">
        <v>125</v>
      </c>
    </row>
    <row r="20" spans="1:9" x14ac:dyDescent="0.4">
      <c r="A20" s="41">
        <v>43892</v>
      </c>
      <c r="B20" s="1" t="s">
        <v>130</v>
      </c>
      <c r="C20" s="1" t="s">
        <v>168</v>
      </c>
      <c r="D20" s="42">
        <v>55300</v>
      </c>
      <c r="F20" s="42">
        <v>594573</v>
      </c>
      <c r="I20" s="1" t="s">
        <v>125</v>
      </c>
    </row>
    <row r="21" spans="1:9" x14ac:dyDescent="0.4">
      <c r="A21" s="41">
        <v>43916</v>
      </c>
      <c r="B21" s="1" t="s">
        <v>166</v>
      </c>
      <c r="D21" s="42">
        <v>63533</v>
      </c>
      <c r="F21" s="42">
        <v>531040</v>
      </c>
      <c r="I21" s="1" t="s">
        <v>125</v>
      </c>
    </row>
    <row r="22" spans="1:9" x14ac:dyDescent="0.4">
      <c r="A22" s="41">
        <v>43921</v>
      </c>
      <c r="B22" s="1" t="s">
        <v>130</v>
      </c>
      <c r="C22" s="1" t="s">
        <v>167</v>
      </c>
      <c r="D22" s="42">
        <v>573</v>
      </c>
      <c r="F22" s="42">
        <v>530467</v>
      </c>
      <c r="I22" s="1" t="s">
        <v>125</v>
      </c>
    </row>
    <row r="23" spans="1:9" x14ac:dyDescent="0.4">
      <c r="A23" s="41">
        <v>43921</v>
      </c>
      <c r="B23" s="1" t="s">
        <v>163</v>
      </c>
      <c r="C23" s="1" t="s">
        <v>164</v>
      </c>
      <c r="D23" s="42">
        <v>16760</v>
      </c>
      <c r="F23" s="42">
        <v>513707</v>
      </c>
      <c r="I23" s="1" t="s">
        <v>125</v>
      </c>
    </row>
    <row r="24" spans="1:9" x14ac:dyDescent="0.4">
      <c r="A24" s="41">
        <v>43921</v>
      </c>
      <c r="B24" s="1" t="s">
        <v>163</v>
      </c>
      <c r="C24" s="1" t="s">
        <v>164</v>
      </c>
      <c r="D24" s="42">
        <v>16760</v>
      </c>
      <c r="F24" s="42">
        <v>496947</v>
      </c>
      <c r="I24" s="1" t="s">
        <v>125</v>
      </c>
    </row>
    <row r="25" spans="1:9" x14ac:dyDescent="0.4">
      <c r="A25" s="41">
        <v>43921</v>
      </c>
      <c r="B25" s="1" t="s">
        <v>130</v>
      </c>
      <c r="C25" s="1" t="s">
        <v>168</v>
      </c>
      <c r="D25" s="42">
        <v>55300</v>
      </c>
      <c r="E25" s="42"/>
      <c r="F25" s="42">
        <v>441647</v>
      </c>
      <c r="I25" s="1" t="s">
        <v>125</v>
      </c>
    </row>
    <row r="26" spans="1:9" x14ac:dyDescent="0.4">
      <c r="A26" s="41">
        <v>43922</v>
      </c>
      <c r="B26" s="1" t="s">
        <v>128</v>
      </c>
      <c r="C26" s="1" t="s">
        <v>129</v>
      </c>
      <c r="D26" s="42"/>
      <c r="E26" s="42">
        <v>260000</v>
      </c>
      <c r="F26" s="42">
        <v>701647</v>
      </c>
      <c r="I26" s="1" t="s">
        <v>140</v>
      </c>
    </row>
    <row r="27" spans="1:9" x14ac:dyDescent="0.4">
      <c r="A27" s="41">
        <v>43937</v>
      </c>
      <c r="B27" s="1" t="s">
        <v>16</v>
      </c>
      <c r="C27" s="1" t="s">
        <v>170</v>
      </c>
      <c r="D27" s="42">
        <v>24259</v>
      </c>
      <c r="F27" s="42">
        <v>677388</v>
      </c>
      <c r="I27" s="1" t="s">
        <v>125</v>
      </c>
    </row>
    <row r="28" spans="1:9" x14ac:dyDescent="0.4">
      <c r="A28" s="41">
        <v>43948</v>
      </c>
      <c r="B28" s="1" t="s">
        <v>166</v>
      </c>
      <c r="D28" s="42">
        <v>63533</v>
      </c>
      <c r="F28" s="42">
        <v>613855</v>
      </c>
      <c r="I28" s="1" t="s">
        <v>125</v>
      </c>
    </row>
    <row r="29" spans="1:9" x14ac:dyDescent="0.4">
      <c r="A29" s="41">
        <v>43951</v>
      </c>
      <c r="B29" s="1" t="s">
        <v>130</v>
      </c>
      <c r="C29" s="1" t="s">
        <v>167</v>
      </c>
      <c r="D29" s="42">
        <v>571</v>
      </c>
      <c r="F29" s="42">
        <v>613284</v>
      </c>
      <c r="I29" s="1" t="s">
        <v>125</v>
      </c>
    </row>
    <row r="30" spans="1:9" x14ac:dyDescent="0.4">
      <c r="A30" s="41">
        <v>43951</v>
      </c>
      <c r="B30" s="1" t="s">
        <v>163</v>
      </c>
      <c r="C30" s="1" t="s">
        <v>164</v>
      </c>
      <c r="D30" s="42">
        <v>16890</v>
      </c>
      <c r="F30" s="42">
        <v>596394</v>
      </c>
      <c r="I30" s="1" t="s">
        <v>125</v>
      </c>
    </row>
    <row r="31" spans="1:9" x14ac:dyDescent="0.4">
      <c r="A31" s="41">
        <v>43951</v>
      </c>
      <c r="B31" s="1" t="s">
        <v>163</v>
      </c>
      <c r="C31" s="1" t="s">
        <v>164</v>
      </c>
      <c r="D31" s="42">
        <v>16890</v>
      </c>
      <c r="F31" s="42">
        <v>579504</v>
      </c>
      <c r="I31" s="1" t="s">
        <v>125</v>
      </c>
    </row>
    <row r="32" spans="1:9" x14ac:dyDescent="0.4">
      <c r="A32" s="41">
        <v>43951</v>
      </c>
      <c r="B32" s="1" t="s">
        <v>171</v>
      </c>
      <c r="C32" s="1" t="s">
        <v>172</v>
      </c>
      <c r="D32" s="42">
        <v>96700</v>
      </c>
      <c r="F32" s="42">
        <v>482804</v>
      </c>
      <c r="I32" s="1" t="s">
        <v>125</v>
      </c>
    </row>
    <row r="33" spans="1:9" x14ac:dyDescent="0.4">
      <c r="A33" s="41">
        <v>43953</v>
      </c>
      <c r="B33" s="1" t="s">
        <v>128</v>
      </c>
      <c r="C33" s="1" t="s">
        <v>129</v>
      </c>
      <c r="D33" s="42"/>
      <c r="E33" s="42">
        <v>200000</v>
      </c>
      <c r="F33" s="42">
        <v>682804</v>
      </c>
      <c r="I33" s="1" t="s">
        <v>140</v>
      </c>
    </row>
    <row r="34" spans="1:9" x14ac:dyDescent="0.4">
      <c r="A34" s="41">
        <v>43977</v>
      </c>
      <c r="B34" s="1" t="s">
        <v>166</v>
      </c>
      <c r="D34" s="42">
        <v>63533</v>
      </c>
      <c r="F34" s="42">
        <v>619271</v>
      </c>
      <c r="I34" s="1" t="s">
        <v>125</v>
      </c>
    </row>
    <row r="35" spans="1:9" x14ac:dyDescent="0.4">
      <c r="A35" s="41">
        <v>43980</v>
      </c>
      <c r="B35" s="1" t="s">
        <v>130</v>
      </c>
      <c r="C35" s="1" t="s">
        <v>167</v>
      </c>
      <c r="D35" s="1">
        <v>570</v>
      </c>
      <c r="E35" s="42"/>
      <c r="F35" s="42">
        <v>618701</v>
      </c>
      <c r="I35" s="1" t="s">
        <v>125</v>
      </c>
    </row>
    <row r="36" spans="1:9" x14ac:dyDescent="0.4">
      <c r="A36" s="41">
        <v>43983</v>
      </c>
      <c r="B36" s="1" t="s">
        <v>163</v>
      </c>
      <c r="C36" s="1" t="s">
        <v>164</v>
      </c>
      <c r="D36" s="42">
        <v>16890</v>
      </c>
      <c r="F36" s="42">
        <v>601811</v>
      </c>
      <c r="I36" s="1" t="s">
        <v>125</v>
      </c>
    </row>
    <row r="37" spans="1:9" x14ac:dyDescent="0.4">
      <c r="A37" s="41">
        <v>43983</v>
      </c>
      <c r="B37" s="1" t="s">
        <v>163</v>
      </c>
      <c r="C37" s="1" t="s">
        <v>164</v>
      </c>
      <c r="D37" s="42">
        <v>16890</v>
      </c>
      <c r="F37" s="42">
        <v>584921</v>
      </c>
      <c r="I37" s="1" t="s">
        <v>125</v>
      </c>
    </row>
    <row r="38" spans="1:9" x14ac:dyDescent="0.4">
      <c r="A38" s="41">
        <v>43983</v>
      </c>
      <c r="B38" s="1" t="s">
        <v>128</v>
      </c>
      <c r="C38" s="1" t="s">
        <v>129</v>
      </c>
      <c r="D38" s="42"/>
      <c r="E38" s="42">
        <v>210000</v>
      </c>
      <c r="F38" s="42">
        <v>794921</v>
      </c>
      <c r="I38" s="1" t="s">
        <v>140</v>
      </c>
    </row>
    <row r="39" spans="1:9" x14ac:dyDescent="0.4">
      <c r="A39" s="41">
        <v>43998</v>
      </c>
      <c r="B39" s="1" t="s">
        <v>16</v>
      </c>
      <c r="C39" s="1" t="s">
        <v>170</v>
      </c>
      <c r="D39" s="42">
        <v>24259</v>
      </c>
      <c r="F39" s="42">
        <v>770662</v>
      </c>
      <c r="I39" s="1" t="s">
        <v>125</v>
      </c>
    </row>
    <row r="40" spans="1:9" x14ac:dyDescent="0.4">
      <c r="A40" s="41">
        <v>44000</v>
      </c>
      <c r="B40" s="1" t="s">
        <v>165</v>
      </c>
      <c r="D40" s="42">
        <v>100000</v>
      </c>
      <c r="F40" s="42">
        <v>670662</v>
      </c>
      <c r="I40" s="1" t="s">
        <v>150</v>
      </c>
    </row>
    <row r="41" spans="1:9" x14ac:dyDescent="0.4">
      <c r="A41" s="41">
        <v>44008</v>
      </c>
      <c r="B41" s="1" t="s">
        <v>166</v>
      </c>
      <c r="D41" s="42">
        <v>63533</v>
      </c>
      <c r="F41" s="42">
        <v>607129</v>
      </c>
      <c r="I41" s="1" t="s">
        <v>125</v>
      </c>
    </row>
    <row r="42" spans="1:9" x14ac:dyDescent="0.4">
      <c r="A42" s="41">
        <v>44012</v>
      </c>
      <c r="B42" s="1" t="s">
        <v>130</v>
      </c>
      <c r="C42" s="1" t="s">
        <v>167</v>
      </c>
      <c r="D42" s="42">
        <v>568</v>
      </c>
      <c r="F42" s="42">
        <v>606561</v>
      </c>
      <c r="I42" s="1" t="s">
        <v>125</v>
      </c>
    </row>
    <row r="43" spans="1:9" x14ac:dyDescent="0.4">
      <c r="A43" s="41">
        <v>44012</v>
      </c>
      <c r="B43" s="1" t="s">
        <v>163</v>
      </c>
      <c r="C43" s="1" t="s">
        <v>164</v>
      </c>
      <c r="D43" s="42">
        <v>16890</v>
      </c>
      <c r="F43" s="42">
        <v>589671</v>
      </c>
      <c r="I43" s="1" t="s">
        <v>125</v>
      </c>
    </row>
    <row r="44" spans="1:9" x14ac:dyDescent="0.4">
      <c r="A44" s="41">
        <v>44012</v>
      </c>
      <c r="B44" s="1" t="s">
        <v>163</v>
      </c>
      <c r="C44" s="1" t="s">
        <v>164</v>
      </c>
      <c r="D44" s="42">
        <v>16890</v>
      </c>
      <c r="F44" s="42">
        <v>572781</v>
      </c>
      <c r="I44" s="1" t="s">
        <v>125</v>
      </c>
    </row>
    <row r="45" spans="1:9" x14ac:dyDescent="0.4">
      <c r="A45" s="41">
        <v>44012</v>
      </c>
      <c r="B45" s="1" t="s">
        <v>130</v>
      </c>
      <c r="C45" s="1" t="s">
        <v>168</v>
      </c>
      <c r="D45" s="42">
        <v>66600</v>
      </c>
      <c r="F45" s="42">
        <v>506181</v>
      </c>
      <c r="I45" s="1" t="s">
        <v>125</v>
      </c>
    </row>
    <row r="46" spans="1:9" x14ac:dyDescent="0.4">
      <c r="A46" s="41">
        <v>44012</v>
      </c>
      <c r="B46" s="1" t="s">
        <v>171</v>
      </c>
      <c r="C46" s="1" t="s">
        <v>173</v>
      </c>
      <c r="D46" s="42">
        <v>324000</v>
      </c>
      <c r="F46" s="42">
        <v>182181</v>
      </c>
      <c r="I46" s="1" t="s">
        <v>125</v>
      </c>
    </row>
    <row r="47" spans="1:9" x14ac:dyDescent="0.4">
      <c r="A47" s="41">
        <v>44014</v>
      </c>
      <c r="B47" s="1" t="s">
        <v>128</v>
      </c>
      <c r="C47" s="1" t="s">
        <v>129</v>
      </c>
      <c r="E47" s="42">
        <v>500000</v>
      </c>
      <c r="F47" s="42">
        <v>682181</v>
      </c>
      <c r="I47" s="1" t="s">
        <v>140</v>
      </c>
    </row>
    <row r="48" spans="1:9" x14ac:dyDescent="0.4">
      <c r="A48" s="41">
        <v>44018</v>
      </c>
      <c r="B48" s="1" t="s">
        <v>136</v>
      </c>
      <c r="C48" s="1" t="s">
        <v>174</v>
      </c>
      <c r="D48" s="42">
        <v>300</v>
      </c>
      <c r="F48" s="42">
        <v>681881</v>
      </c>
      <c r="I48" s="1" t="s">
        <v>125</v>
      </c>
    </row>
    <row r="49" spans="1:9" x14ac:dyDescent="0.4">
      <c r="A49" s="41">
        <v>44039</v>
      </c>
      <c r="B49" s="1" t="s">
        <v>166</v>
      </c>
      <c r="D49" s="42">
        <v>63533</v>
      </c>
      <c r="F49" s="42">
        <v>618348</v>
      </c>
      <c r="I49" s="1" t="s">
        <v>125</v>
      </c>
    </row>
    <row r="50" spans="1:9" x14ac:dyDescent="0.4">
      <c r="A50" s="41">
        <v>44043</v>
      </c>
      <c r="B50" s="1" t="s">
        <v>130</v>
      </c>
      <c r="C50" s="1" t="s">
        <v>167</v>
      </c>
      <c r="D50" s="42">
        <v>567</v>
      </c>
      <c r="F50" s="42">
        <v>617781</v>
      </c>
      <c r="I50" s="1" t="s">
        <v>125</v>
      </c>
    </row>
    <row r="51" spans="1:9" x14ac:dyDescent="0.4">
      <c r="A51" s="41">
        <v>44043</v>
      </c>
      <c r="B51" s="1" t="s">
        <v>130</v>
      </c>
      <c r="C51" s="1" t="s">
        <v>175</v>
      </c>
      <c r="D51" s="42">
        <v>8540</v>
      </c>
      <c r="F51" s="42">
        <v>609241</v>
      </c>
      <c r="I51" s="1" t="s">
        <v>125</v>
      </c>
    </row>
    <row r="52" spans="1:9" x14ac:dyDescent="0.4">
      <c r="A52" s="41">
        <v>44043</v>
      </c>
      <c r="B52" s="1" t="s">
        <v>163</v>
      </c>
      <c r="C52" s="1" t="s">
        <v>164</v>
      </c>
      <c r="D52" s="42">
        <v>16890</v>
      </c>
      <c r="F52" s="42">
        <v>592351</v>
      </c>
      <c r="I52" s="1" t="s">
        <v>125</v>
      </c>
    </row>
    <row r="53" spans="1:9" x14ac:dyDescent="0.4">
      <c r="A53" s="41">
        <v>44043</v>
      </c>
      <c r="B53" s="1" t="s">
        <v>163</v>
      </c>
      <c r="C53" s="1" t="s">
        <v>164</v>
      </c>
      <c r="D53" s="42">
        <v>16890</v>
      </c>
      <c r="F53" s="42">
        <v>575461</v>
      </c>
      <c r="I53" s="1" t="s">
        <v>125</v>
      </c>
    </row>
    <row r="54" spans="1:9" x14ac:dyDescent="0.4">
      <c r="A54" s="41">
        <v>44043</v>
      </c>
      <c r="B54" s="1" t="s">
        <v>130</v>
      </c>
      <c r="C54" s="1" t="s">
        <v>168</v>
      </c>
      <c r="D54" s="42">
        <v>65800</v>
      </c>
      <c r="E54" s="42"/>
      <c r="F54" s="42">
        <v>509661</v>
      </c>
      <c r="I54" s="1" t="s">
        <v>125</v>
      </c>
    </row>
    <row r="55" spans="1:9" x14ac:dyDescent="0.4">
      <c r="A55" s="41">
        <v>44044</v>
      </c>
      <c r="B55" s="1" t="s">
        <v>128</v>
      </c>
      <c r="C55" s="1" t="s">
        <v>129</v>
      </c>
      <c r="E55" s="42">
        <v>210000</v>
      </c>
      <c r="F55" s="42">
        <v>719661</v>
      </c>
      <c r="I55" s="1" t="s">
        <v>140</v>
      </c>
    </row>
    <row r="56" spans="1:9" x14ac:dyDescent="0.4">
      <c r="A56" s="41">
        <v>44047</v>
      </c>
      <c r="B56" s="1" t="s">
        <v>136</v>
      </c>
      <c r="C56" s="1" t="s">
        <v>174</v>
      </c>
      <c r="D56" s="42">
        <v>2162</v>
      </c>
      <c r="F56" s="42">
        <v>717499</v>
      </c>
      <c r="I56" s="1" t="s">
        <v>125</v>
      </c>
    </row>
    <row r="57" spans="1:9" x14ac:dyDescent="0.4">
      <c r="A57" s="41">
        <v>44060</v>
      </c>
      <c r="B57" s="1" t="s">
        <v>143</v>
      </c>
      <c r="C57" s="1" t="s">
        <v>169</v>
      </c>
      <c r="D57" s="42"/>
      <c r="E57" s="1">
        <v>3</v>
      </c>
      <c r="F57" s="42">
        <v>717502</v>
      </c>
      <c r="I57" s="1" t="s">
        <v>140</v>
      </c>
    </row>
    <row r="58" spans="1:9" x14ac:dyDescent="0.4">
      <c r="A58" s="41">
        <v>44060</v>
      </c>
      <c r="B58" s="1" t="s">
        <v>16</v>
      </c>
      <c r="C58" s="1" t="s">
        <v>170</v>
      </c>
      <c r="D58" s="42">
        <v>24802</v>
      </c>
      <c r="F58" s="42">
        <v>692700</v>
      </c>
      <c r="I58" s="1" t="s">
        <v>125</v>
      </c>
    </row>
    <row r="59" spans="1:9" x14ac:dyDescent="0.4">
      <c r="A59" s="41">
        <v>44069</v>
      </c>
      <c r="B59" s="1" t="s">
        <v>166</v>
      </c>
      <c r="D59" s="42">
        <v>63533</v>
      </c>
      <c r="F59" s="42">
        <v>629167</v>
      </c>
      <c r="I59" s="1" t="s">
        <v>125</v>
      </c>
    </row>
    <row r="60" spans="1:9" x14ac:dyDescent="0.4">
      <c r="A60" s="41">
        <v>44074</v>
      </c>
      <c r="B60" s="1" t="s">
        <v>130</v>
      </c>
      <c r="C60" s="1" t="s">
        <v>167</v>
      </c>
      <c r="D60" s="1">
        <v>565</v>
      </c>
      <c r="E60" s="42"/>
      <c r="F60" s="42">
        <v>628602</v>
      </c>
      <c r="I60" s="1" t="s">
        <v>125</v>
      </c>
    </row>
    <row r="61" spans="1:9" x14ac:dyDescent="0.4">
      <c r="A61" s="41">
        <v>44074</v>
      </c>
      <c r="B61" s="1" t="s">
        <v>163</v>
      </c>
      <c r="C61" s="1" t="s">
        <v>164</v>
      </c>
      <c r="D61" s="42">
        <v>16890</v>
      </c>
      <c r="F61" s="42">
        <v>611712</v>
      </c>
      <c r="I61" s="1" t="s">
        <v>125</v>
      </c>
    </row>
    <row r="62" spans="1:9" x14ac:dyDescent="0.4">
      <c r="A62" s="41">
        <v>44074</v>
      </c>
      <c r="B62" s="1" t="s">
        <v>163</v>
      </c>
      <c r="C62" s="1" t="s">
        <v>164</v>
      </c>
      <c r="D62" s="42">
        <v>16890</v>
      </c>
      <c r="F62" s="42">
        <v>594822</v>
      </c>
      <c r="I62" s="1" t="s">
        <v>125</v>
      </c>
    </row>
    <row r="63" spans="1:9" x14ac:dyDescent="0.4">
      <c r="A63" s="41">
        <v>44074</v>
      </c>
      <c r="B63" s="1" t="s">
        <v>130</v>
      </c>
      <c r="C63" s="1" t="s">
        <v>168</v>
      </c>
      <c r="D63" s="42">
        <v>65800</v>
      </c>
      <c r="F63" s="42">
        <v>529022</v>
      </c>
      <c r="I63" s="1" t="s">
        <v>125</v>
      </c>
    </row>
    <row r="64" spans="1:9" x14ac:dyDescent="0.4">
      <c r="A64" s="41">
        <v>44075</v>
      </c>
      <c r="B64" s="1" t="s">
        <v>128</v>
      </c>
      <c r="C64" s="1" t="s">
        <v>129</v>
      </c>
      <c r="D64" s="42"/>
      <c r="E64" s="42">
        <v>210000</v>
      </c>
      <c r="F64" s="42">
        <v>739022</v>
      </c>
      <c r="I64" s="1" t="s">
        <v>140</v>
      </c>
    </row>
    <row r="65" spans="1:9" x14ac:dyDescent="0.4">
      <c r="A65" s="41">
        <v>44078</v>
      </c>
      <c r="B65" s="1" t="s">
        <v>136</v>
      </c>
      <c r="C65" s="1" t="s">
        <v>174</v>
      </c>
      <c r="D65" s="42">
        <v>693</v>
      </c>
      <c r="F65" s="42">
        <v>738329</v>
      </c>
      <c r="I65" s="1" t="s">
        <v>125</v>
      </c>
    </row>
    <row r="66" spans="1:9" x14ac:dyDescent="0.4">
      <c r="A66" s="41">
        <v>44084</v>
      </c>
      <c r="B66" s="1" t="s">
        <v>165</v>
      </c>
      <c r="D66" s="42">
        <v>100000</v>
      </c>
      <c r="F66" s="42">
        <v>638329</v>
      </c>
      <c r="I66" s="1" t="s">
        <v>150</v>
      </c>
    </row>
    <row r="67" spans="1:9" x14ac:dyDescent="0.4">
      <c r="A67" s="41">
        <v>44102</v>
      </c>
      <c r="B67" s="1" t="s">
        <v>166</v>
      </c>
      <c r="D67" s="42">
        <v>63533</v>
      </c>
      <c r="F67" s="42">
        <v>574796</v>
      </c>
      <c r="I67" s="1" t="s">
        <v>125</v>
      </c>
    </row>
    <row r="68" spans="1:9" x14ac:dyDescent="0.4">
      <c r="A68" s="41">
        <v>44104</v>
      </c>
      <c r="B68" s="1" t="s">
        <v>130</v>
      </c>
      <c r="C68" s="1" t="s">
        <v>167</v>
      </c>
      <c r="D68" s="42">
        <v>564</v>
      </c>
      <c r="F68" s="42">
        <v>574232</v>
      </c>
      <c r="I68" s="1" t="s">
        <v>125</v>
      </c>
    </row>
    <row r="69" spans="1:9" x14ac:dyDescent="0.4">
      <c r="A69" s="41">
        <v>44104</v>
      </c>
      <c r="B69" s="1" t="s">
        <v>130</v>
      </c>
      <c r="C69" s="1" t="s">
        <v>175</v>
      </c>
      <c r="D69" s="42">
        <v>8540</v>
      </c>
      <c r="F69" s="42">
        <v>565692</v>
      </c>
      <c r="I69" s="1" t="s">
        <v>125</v>
      </c>
    </row>
    <row r="70" spans="1:9" x14ac:dyDescent="0.4">
      <c r="A70" s="41">
        <v>44104</v>
      </c>
      <c r="B70" s="1" t="s">
        <v>163</v>
      </c>
      <c r="C70" s="1" t="s">
        <v>164</v>
      </c>
      <c r="D70" s="42">
        <v>16890</v>
      </c>
      <c r="E70" s="42"/>
      <c r="F70" s="42">
        <v>548802</v>
      </c>
      <c r="I70" s="1" t="s">
        <v>125</v>
      </c>
    </row>
    <row r="71" spans="1:9" x14ac:dyDescent="0.4">
      <c r="A71" s="41">
        <v>44104</v>
      </c>
      <c r="B71" s="1" t="s">
        <v>163</v>
      </c>
      <c r="C71" s="1" t="s">
        <v>164</v>
      </c>
      <c r="D71" s="42">
        <v>16890</v>
      </c>
      <c r="F71" s="42">
        <v>531912</v>
      </c>
      <c r="I71" s="1" t="s">
        <v>125</v>
      </c>
    </row>
    <row r="72" spans="1:9" x14ac:dyDescent="0.4">
      <c r="A72" s="41">
        <v>44104</v>
      </c>
      <c r="B72" s="1" t="s">
        <v>130</v>
      </c>
      <c r="C72" s="1" t="s">
        <v>168</v>
      </c>
      <c r="D72" s="42">
        <v>65800</v>
      </c>
      <c r="F72" s="42">
        <v>466112</v>
      </c>
      <c r="I72" s="1" t="s">
        <v>125</v>
      </c>
    </row>
    <row r="73" spans="1:9" x14ac:dyDescent="0.4">
      <c r="A73" s="41">
        <v>44105</v>
      </c>
      <c r="B73" s="1" t="s">
        <v>128</v>
      </c>
      <c r="C73" s="1" t="s">
        <v>129</v>
      </c>
      <c r="D73" s="42"/>
      <c r="E73" s="42">
        <v>300000</v>
      </c>
      <c r="F73" s="42">
        <v>766112</v>
      </c>
      <c r="I73" s="1" t="s">
        <v>140</v>
      </c>
    </row>
    <row r="74" spans="1:9" x14ac:dyDescent="0.4">
      <c r="A74" s="41">
        <v>44109</v>
      </c>
      <c r="B74" s="1" t="s">
        <v>136</v>
      </c>
      <c r="C74" s="1" t="s">
        <v>174</v>
      </c>
      <c r="D74" s="42">
        <v>1641</v>
      </c>
      <c r="F74" s="42">
        <v>764471</v>
      </c>
      <c r="I74" s="1" t="s">
        <v>125</v>
      </c>
    </row>
    <row r="75" spans="1:9" x14ac:dyDescent="0.4">
      <c r="A75" s="41">
        <v>44120</v>
      </c>
      <c r="B75" s="1" t="s">
        <v>16</v>
      </c>
      <c r="C75" s="1" t="s">
        <v>170</v>
      </c>
      <c r="D75" s="42">
        <v>26974</v>
      </c>
      <c r="F75" s="42">
        <v>737497</v>
      </c>
      <c r="I75" s="1" t="s">
        <v>125</v>
      </c>
    </row>
    <row r="76" spans="1:9" x14ac:dyDescent="0.4">
      <c r="A76" s="41">
        <v>44130</v>
      </c>
      <c r="B76" s="1" t="s">
        <v>166</v>
      </c>
      <c r="D76" s="42">
        <v>63533</v>
      </c>
      <c r="F76" s="42">
        <v>673964</v>
      </c>
      <c r="I76" s="1" t="s">
        <v>125</v>
      </c>
    </row>
    <row r="77" spans="1:9" x14ac:dyDescent="0.4">
      <c r="A77" s="41">
        <v>44134</v>
      </c>
      <c r="B77" s="1" t="s">
        <v>130</v>
      </c>
      <c r="C77" s="1" t="s">
        <v>167</v>
      </c>
      <c r="D77" s="42">
        <v>562</v>
      </c>
      <c r="F77" s="42">
        <v>673402</v>
      </c>
      <c r="I77" s="1" t="s">
        <v>125</v>
      </c>
    </row>
    <row r="78" spans="1:9" x14ac:dyDescent="0.4">
      <c r="A78" s="41"/>
      <c r="D78" s="42"/>
      <c r="E78" s="42"/>
      <c r="F78" s="42"/>
    </row>
    <row r="79" spans="1:9" x14ac:dyDescent="0.4">
      <c r="A79" s="41"/>
      <c r="D79" s="42"/>
      <c r="F79" s="42"/>
    </row>
    <row r="80" spans="1:9" x14ac:dyDescent="0.4">
      <c r="A80" s="41"/>
      <c r="D80" s="42"/>
      <c r="E80" s="42"/>
      <c r="F80" s="42"/>
    </row>
    <row r="81" spans="1:6" x14ac:dyDescent="0.4">
      <c r="A81" s="41"/>
      <c r="D81" s="42"/>
      <c r="F81" s="42"/>
    </row>
    <row r="82" spans="1:6" x14ac:dyDescent="0.4">
      <c r="A82" s="41"/>
      <c r="D82" s="42"/>
      <c r="F82" s="42"/>
    </row>
    <row r="83" spans="1:6" x14ac:dyDescent="0.4">
      <c r="A83" s="41"/>
      <c r="D83" s="42"/>
      <c r="F83" s="42"/>
    </row>
    <row r="84" spans="1:6" x14ac:dyDescent="0.4">
      <c r="A84" s="41"/>
      <c r="D84" s="42"/>
      <c r="F84" s="42"/>
    </row>
    <row r="85" spans="1:6" x14ac:dyDescent="0.4">
      <c r="A85" s="41"/>
      <c r="D85" s="42"/>
      <c r="F85" s="42"/>
    </row>
    <row r="86" spans="1:6" x14ac:dyDescent="0.4">
      <c r="A86" s="41"/>
      <c r="D86" s="42"/>
      <c r="F86" s="42"/>
    </row>
    <row r="87" spans="1:6" x14ac:dyDescent="0.4">
      <c r="A87" s="41"/>
      <c r="E87" s="42"/>
      <c r="F87" s="42"/>
    </row>
    <row r="88" spans="1:6" x14ac:dyDescent="0.4">
      <c r="A88" s="41"/>
      <c r="F88" s="42"/>
    </row>
    <row r="89" spans="1:6" x14ac:dyDescent="0.4">
      <c r="A89" s="41"/>
      <c r="D89" s="42"/>
      <c r="F89" s="42"/>
    </row>
    <row r="90" spans="1:6" x14ac:dyDescent="0.4">
      <c r="A90" s="41"/>
      <c r="D90" s="42"/>
      <c r="F90" s="42"/>
    </row>
    <row r="91" spans="1:6" x14ac:dyDescent="0.4">
      <c r="A91" s="41"/>
      <c r="D91" s="42"/>
      <c r="F91" s="42"/>
    </row>
    <row r="92" spans="1:6" x14ac:dyDescent="0.4">
      <c r="A92" s="41"/>
      <c r="D92" s="42"/>
      <c r="E92" s="42"/>
      <c r="F92" s="42"/>
    </row>
    <row r="93" spans="1:6" x14ac:dyDescent="0.4">
      <c r="A93" s="41"/>
      <c r="D93" s="42"/>
      <c r="F93" s="42"/>
    </row>
    <row r="94" spans="1:6" x14ac:dyDescent="0.4">
      <c r="A94" s="41"/>
      <c r="D94" s="42"/>
      <c r="E94" s="42"/>
      <c r="F94" s="42"/>
    </row>
    <row r="95" spans="1:6" x14ac:dyDescent="0.4">
      <c r="A95" s="41"/>
      <c r="D95" s="42"/>
      <c r="F95" s="42"/>
    </row>
    <row r="96" spans="1:6" x14ac:dyDescent="0.4">
      <c r="A96" s="41"/>
      <c r="D96" s="42"/>
      <c r="F96" s="42"/>
    </row>
    <row r="97" spans="1:6" x14ac:dyDescent="0.4">
      <c r="A97" s="41"/>
      <c r="D97" s="42"/>
      <c r="F97" s="42"/>
    </row>
    <row r="98" spans="1:6" x14ac:dyDescent="0.4">
      <c r="A98" s="41"/>
      <c r="D98" s="42"/>
      <c r="F98" s="42"/>
    </row>
    <row r="99" spans="1:6" x14ac:dyDescent="0.4">
      <c r="A99" s="41"/>
      <c r="D99" s="42"/>
      <c r="F99" s="42"/>
    </row>
    <row r="100" spans="1:6" x14ac:dyDescent="0.4">
      <c r="A100" s="41"/>
      <c r="D100" s="42"/>
      <c r="F100" s="42"/>
    </row>
    <row r="101" spans="1:6" x14ac:dyDescent="0.4">
      <c r="A101" s="41"/>
      <c r="D101" s="42"/>
      <c r="E101" s="42"/>
      <c r="F101" s="42"/>
    </row>
    <row r="102" spans="1:6" x14ac:dyDescent="0.4">
      <c r="A102" s="41"/>
      <c r="D102" s="42"/>
      <c r="F102" s="42"/>
    </row>
    <row r="103" spans="1:6" x14ac:dyDescent="0.4">
      <c r="A103" s="41"/>
      <c r="D103" s="42"/>
      <c r="F103" s="42"/>
    </row>
    <row r="104" spans="1:6" x14ac:dyDescent="0.4">
      <c r="A104" s="41"/>
      <c r="D104" s="42"/>
      <c r="F104" s="42"/>
    </row>
    <row r="105" spans="1:6" x14ac:dyDescent="0.4">
      <c r="A105" s="41"/>
      <c r="D105" s="42"/>
      <c r="E105" s="42"/>
      <c r="F105" s="42"/>
    </row>
    <row r="106" spans="1:6" x14ac:dyDescent="0.4">
      <c r="A106" s="41"/>
      <c r="D106" s="42"/>
      <c r="F106" s="42"/>
    </row>
    <row r="107" spans="1:6" x14ac:dyDescent="0.4">
      <c r="A107" s="41"/>
      <c r="D107" s="42"/>
      <c r="F107" s="42"/>
    </row>
    <row r="108" spans="1:6" x14ac:dyDescent="0.4">
      <c r="A108" s="41"/>
      <c r="D108" s="42"/>
      <c r="E108" s="42"/>
      <c r="F108" s="42"/>
    </row>
    <row r="109" spans="1:6" x14ac:dyDescent="0.4">
      <c r="A109" s="41"/>
      <c r="D109" s="42"/>
      <c r="F109" s="42"/>
    </row>
    <row r="110" spans="1:6" x14ac:dyDescent="0.4">
      <c r="A110" s="41"/>
      <c r="D110" s="42"/>
      <c r="F110" s="42"/>
    </row>
    <row r="111" spans="1:6" x14ac:dyDescent="0.4">
      <c r="A111" s="41"/>
      <c r="D111" s="42"/>
      <c r="F111" s="42"/>
    </row>
    <row r="112" spans="1:6" x14ac:dyDescent="0.4">
      <c r="A112" s="41"/>
      <c r="D112" s="42"/>
      <c r="F112" s="42"/>
    </row>
    <row r="113" spans="1:6" x14ac:dyDescent="0.4">
      <c r="A113" s="41"/>
      <c r="D113" s="42"/>
      <c r="E113" s="42"/>
      <c r="F113" s="42"/>
    </row>
    <row r="114" spans="1:6" x14ac:dyDescent="0.4">
      <c r="A114" s="41"/>
      <c r="D114" s="42"/>
      <c r="F114" s="42"/>
    </row>
    <row r="115" spans="1:6" x14ac:dyDescent="0.4">
      <c r="A115" s="41"/>
      <c r="D115" s="42"/>
      <c r="F115" s="42"/>
    </row>
    <row r="116" spans="1:6" x14ac:dyDescent="0.4">
      <c r="A116" s="41"/>
      <c r="D116" s="42"/>
      <c r="E116" s="42"/>
      <c r="F116" s="42"/>
    </row>
    <row r="117" spans="1:6" x14ac:dyDescent="0.4">
      <c r="A117" s="41"/>
      <c r="D117" s="42"/>
      <c r="F117" s="42"/>
    </row>
    <row r="118" spans="1:6" x14ac:dyDescent="0.4">
      <c r="A118" s="41"/>
      <c r="D118" s="42"/>
      <c r="F118" s="42"/>
    </row>
    <row r="119" spans="1:6" x14ac:dyDescent="0.4">
      <c r="A119" s="41"/>
      <c r="D119" s="42"/>
      <c r="F119" s="42"/>
    </row>
    <row r="120" spans="1:6" x14ac:dyDescent="0.4">
      <c r="A120" s="41"/>
      <c r="D120" s="42"/>
      <c r="F120" s="42"/>
    </row>
    <row r="121" spans="1:6" x14ac:dyDescent="0.4">
      <c r="A121" s="41"/>
      <c r="D121" s="42"/>
      <c r="F121" s="42"/>
    </row>
    <row r="122" spans="1:6" x14ac:dyDescent="0.4">
      <c r="A122" s="41"/>
      <c r="D122" s="42"/>
      <c r="E122" s="42"/>
      <c r="F122" s="42"/>
    </row>
    <row r="123" spans="1:6" x14ac:dyDescent="0.4">
      <c r="A123" s="41"/>
      <c r="D123" s="42"/>
      <c r="F123" s="42"/>
    </row>
    <row r="124" spans="1:6" x14ac:dyDescent="0.4">
      <c r="A124" s="41"/>
      <c r="D124" s="42"/>
      <c r="F124" s="42"/>
    </row>
    <row r="125" spans="1:6" x14ac:dyDescent="0.4">
      <c r="A125" s="41"/>
      <c r="D125" s="42"/>
      <c r="F125" s="42"/>
    </row>
    <row r="126" spans="1:6" x14ac:dyDescent="0.4">
      <c r="A126" s="41"/>
      <c r="D126" s="42"/>
      <c r="E126" s="42"/>
      <c r="F126" s="42"/>
    </row>
    <row r="127" spans="1:6" x14ac:dyDescent="0.4">
      <c r="A127" s="41"/>
      <c r="D127" s="42"/>
      <c r="F127" s="42"/>
    </row>
    <row r="128" spans="1:6" x14ac:dyDescent="0.4">
      <c r="A128" s="41"/>
      <c r="D128" s="42"/>
      <c r="F128" s="42"/>
    </row>
    <row r="129" spans="1:6" x14ac:dyDescent="0.4">
      <c r="A129" s="41"/>
      <c r="D129" s="42"/>
      <c r="F129" s="42"/>
    </row>
    <row r="130" spans="1:6" x14ac:dyDescent="0.4">
      <c r="A130" s="41"/>
      <c r="D130" s="42"/>
      <c r="E130" s="42"/>
      <c r="F130" s="42"/>
    </row>
    <row r="131" spans="1:6" x14ac:dyDescent="0.4">
      <c r="A131" s="41"/>
      <c r="D131" s="42"/>
      <c r="F131" s="42"/>
    </row>
    <row r="132" spans="1:6" x14ac:dyDescent="0.4">
      <c r="A132" s="41"/>
      <c r="D132" s="42"/>
      <c r="F132" s="42"/>
    </row>
    <row r="133" spans="1:6" x14ac:dyDescent="0.4">
      <c r="A133" s="41"/>
      <c r="D133" s="42"/>
      <c r="F133" s="42"/>
    </row>
    <row r="134" spans="1:6" x14ac:dyDescent="0.4">
      <c r="A134" s="41"/>
      <c r="D134" s="42"/>
      <c r="F134" s="42"/>
    </row>
    <row r="135" spans="1:6" x14ac:dyDescent="0.4">
      <c r="A135" s="41"/>
      <c r="F135" s="42"/>
    </row>
    <row r="136" spans="1:6" x14ac:dyDescent="0.4">
      <c r="A136" s="41"/>
      <c r="D136" s="42"/>
      <c r="F136" s="42"/>
    </row>
    <row r="137" spans="1:6" x14ac:dyDescent="0.4">
      <c r="A137" s="41"/>
      <c r="D137" s="42"/>
      <c r="F137" s="42"/>
    </row>
    <row r="138" spans="1:6" x14ac:dyDescent="0.4">
      <c r="A138" s="41"/>
      <c r="D138" s="42"/>
      <c r="F138" s="42"/>
    </row>
    <row r="139" spans="1:6" x14ac:dyDescent="0.4">
      <c r="A139" s="41"/>
      <c r="E139" s="42"/>
      <c r="F139" s="42"/>
    </row>
    <row r="140" spans="1:6" x14ac:dyDescent="0.4">
      <c r="A140" s="41"/>
      <c r="D140" s="42"/>
      <c r="F140" s="42"/>
    </row>
    <row r="141" spans="1:6" x14ac:dyDescent="0.4">
      <c r="A141" s="41"/>
      <c r="D141" s="42"/>
      <c r="F141" s="42"/>
    </row>
    <row r="142" spans="1:6" x14ac:dyDescent="0.4">
      <c r="A142" s="41"/>
      <c r="D142" s="42"/>
      <c r="F142" s="42"/>
    </row>
    <row r="143" spans="1:6" x14ac:dyDescent="0.4">
      <c r="A143" s="41"/>
      <c r="D143" s="42"/>
      <c r="F143" s="42"/>
    </row>
    <row r="144" spans="1:6" x14ac:dyDescent="0.4">
      <c r="A144" s="41"/>
      <c r="D144" s="42"/>
      <c r="F144" s="42"/>
    </row>
    <row r="145" spans="1:6" x14ac:dyDescent="0.4">
      <c r="A145" s="41"/>
      <c r="D145" s="42"/>
      <c r="F145" s="42"/>
    </row>
    <row r="146" spans="1:6" x14ac:dyDescent="0.4">
      <c r="A146" s="41"/>
      <c r="D146" s="42"/>
      <c r="F146" s="42"/>
    </row>
    <row r="147" spans="1:6" x14ac:dyDescent="0.4">
      <c r="A147" s="41"/>
      <c r="D147" s="42"/>
      <c r="F147" s="42"/>
    </row>
    <row r="148" spans="1:6" x14ac:dyDescent="0.4">
      <c r="A148" s="41"/>
      <c r="D148" s="42"/>
      <c r="E148" s="42"/>
      <c r="F148" s="42"/>
    </row>
    <row r="149" spans="1:6" x14ac:dyDescent="0.4">
      <c r="A149" s="41"/>
      <c r="D149" s="42"/>
      <c r="E149" s="42"/>
      <c r="F149" s="42"/>
    </row>
    <row r="150" spans="1:6" x14ac:dyDescent="0.4">
      <c r="A150" s="41"/>
      <c r="D150" s="42"/>
      <c r="F150" s="42"/>
    </row>
    <row r="151" spans="1:6" x14ac:dyDescent="0.4">
      <c r="A151" s="41"/>
      <c r="D151" s="42"/>
      <c r="F151" s="42"/>
    </row>
    <row r="152" spans="1:6" x14ac:dyDescent="0.4">
      <c r="A152" s="41"/>
      <c r="D152" s="42"/>
      <c r="F152" s="42"/>
    </row>
    <row r="153" spans="1:6" x14ac:dyDescent="0.4">
      <c r="A153" s="41"/>
      <c r="D153" s="42"/>
      <c r="F153" s="42"/>
    </row>
    <row r="154" spans="1:6" x14ac:dyDescent="0.4">
      <c r="A154" s="41"/>
      <c r="F154" s="42"/>
    </row>
    <row r="155" spans="1:6" x14ac:dyDescent="0.4">
      <c r="A155" s="41"/>
      <c r="D155" s="42"/>
      <c r="F155" s="42"/>
    </row>
    <row r="156" spans="1:6" x14ac:dyDescent="0.4">
      <c r="A156" s="41"/>
      <c r="D156" s="42"/>
      <c r="F156" s="42"/>
    </row>
    <row r="157" spans="1:6" x14ac:dyDescent="0.4">
      <c r="A157" s="41"/>
      <c r="D157" s="42"/>
      <c r="F157" s="42"/>
    </row>
    <row r="158" spans="1:6" x14ac:dyDescent="0.4">
      <c r="A158" s="41"/>
      <c r="D158" s="42"/>
      <c r="F158" s="42"/>
    </row>
    <row r="159" spans="1:6" x14ac:dyDescent="0.4">
      <c r="A159" s="41"/>
      <c r="D159" s="42"/>
      <c r="F159" s="42"/>
    </row>
    <row r="160" spans="1:6" x14ac:dyDescent="0.4">
      <c r="A160" s="41"/>
      <c r="D160" s="42"/>
      <c r="F160" s="42"/>
    </row>
    <row r="161" spans="1:6" x14ac:dyDescent="0.4">
      <c r="A161" s="41"/>
      <c r="E161" s="42"/>
      <c r="F161" s="42"/>
    </row>
    <row r="162" spans="1:6" x14ac:dyDescent="0.4">
      <c r="A162" s="41"/>
      <c r="D162" s="42"/>
      <c r="F162" s="42"/>
    </row>
    <row r="163" spans="1:6" x14ac:dyDescent="0.4">
      <c r="A163" s="41"/>
      <c r="F163" s="42"/>
    </row>
    <row r="164" spans="1:6" x14ac:dyDescent="0.4">
      <c r="A164" s="41"/>
      <c r="D164" s="42"/>
      <c r="F164" s="42"/>
    </row>
    <row r="165" spans="1:6" x14ac:dyDescent="0.4">
      <c r="A165" s="41"/>
      <c r="D165" s="42"/>
      <c r="F165" s="42"/>
    </row>
    <row r="166" spans="1:6" x14ac:dyDescent="0.4">
      <c r="A166" s="41"/>
      <c r="D166" s="42"/>
      <c r="F166" s="42"/>
    </row>
    <row r="167" spans="1:6" x14ac:dyDescent="0.4">
      <c r="A167" s="41"/>
      <c r="D167" s="42"/>
      <c r="F167" s="42"/>
    </row>
    <row r="168" spans="1:6" x14ac:dyDescent="0.4">
      <c r="A168" s="41"/>
      <c r="E168" s="42"/>
      <c r="F168" s="42"/>
    </row>
    <row r="169" spans="1:6" x14ac:dyDescent="0.4">
      <c r="A169" s="41"/>
      <c r="E169" s="42"/>
      <c r="F169" s="42"/>
    </row>
    <row r="170" spans="1:6" x14ac:dyDescent="0.4">
      <c r="A170" s="41"/>
      <c r="D170" s="42"/>
      <c r="F170" s="42"/>
    </row>
    <row r="171" spans="1:6" x14ac:dyDescent="0.4">
      <c r="A171" s="41"/>
      <c r="D171" s="42"/>
      <c r="F171" s="42"/>
    </row>
    <row r="172" spans="1:6" x14ac:dyDescent="0.4">
      <c r="A172" s="41"/>
      <c r="D172" s="42"/>
      <c r="F172" s="42"/>
    </row>
    <row r="173" spans="1:6" x14ac:dyDescent="0.4">
      <c r="A173" s="41"/>
      <c r="D173" s="42"/>
      <c r="F173" s="42"/>
    </row>
    <row r="174" spans="1:6" x14ac:dyDescent="0.4">
      <c r="A174" s="41"/>
      <c r="E174" s="42"/>
      <c r="F174" s="42"/>
    </row>
    <row r="175" spans="1:6" x14ac:dyDescent="0.4">
      <c r="A175" s="41"/>
      <c r="D175" s="42"/>
      <c r="F175" s="42"/>
    </row>
    <row r="176" spans="1:6" x14ac:dyDescent="0.4">
      <c r="A176" s="41"/>
      <c r="F176" s="42"/>
    </row>
    <row r="177" spans="1:6" x14ac:dyDescent="0.4">
      <c r="A177" s="41"/>
      <c r="D177" s="42"/>
      <c r="F177" s="42"/>
    </row>
    <row r="178" spans="1:6" x14ac:dyDescent="0.4">
      <c r="A178" s="41"/>
      <c r="D178" s="42"/>
      <c r="F178" s="42"/>
    </row>
    <row r="179" spans="1:6" x14ac:dyDescent="0.4">
      <c r="A179" s="41"/>
      <c r="D179" s="42"/>
      <c r="F179" s="42"/>
    </row>
    <row r="180" spans="1:6" x14ac:dyDescent="0.4">
      <c r="A180" s="41"/>
      <c r="D180" s="42"/>
      <c r="F180" s="42"/>
    </row>
    <row r="181" spans="1:6" x14ac:dyDescent="0.4">
      <c r="A181" s="41"/>
      <c r="D181" s="42"/>
      <c r="F181" s="42"/>
    </row>
    <row r="182" spans="1:6" x14ac:dyDescent="0.4">
      <c r="A182" s="41"/>
      <c r="D182" s="42"/>
      <c r="F182" s="42"/>
    </row>
    <row r="183" spans="1:6" x14ac:dyDescent="0.4">
      <c r="A183" s="41"/>
      <c r="D183" s="42"/>
      <c r="F183" s="42"/>
    </row>
    <row r="184" spans="1:6" x14ac:dyDescent="0.4">
      <c r="A184" s="41"/>
      <c r="E184" s="42"/>
      <c r="F184" s="42"/>
    </row>
    <row r="185" spans="1:6" x14ac:dyDescent="0.4">
      <c r="A185" s="41"/>
      <c r="D185" s="42"/>
      <c r="F185" s="42"/>
    </row>
    <row r="186" spans="1:6" x14ac:dyDescent="0.4">
      <c r="A186" s="41"/>
      <c r="F186" s="42"/>
    </row>
    <row r="187" spans="1:6" x14ac:dyDescent="0.4">
      <c r="A187" s="41"/>
      <c r="D187" s="42"/>
      <c r="F187" s="42"/>
    </row>
    <row r="188" spans="1:6" x14ac:dyDescent="0.4">
      <c r="A188" s="41"/>
      <c r="D188" s="42"/>
      <c r="F188" s="42"/>
    </row>
    <row r="189" spans="1:6" x14ac:dyDescent="0.4">
      <c r="A189" s="41"/>
      <c r="D189" s="42"/>
      <c r="F189" s="42"/>
    </row>
    <row r="190" spans="1:6" x14ac:dyDescent="0.4">
      <c r="A190" s="41"/>
      <c r="D190" s="42"/>
      <c r="F190" s="42"/>
    </row>
    <row r="191" spans="1:6" x14ac:dyDescent="0.4">
      <c r="A191" s="41"/>
      <c r="D191" s="42"/>
      <c r="F191" s="42"/>
    </row>
    <row r="192" spans="1:6" x14ac:dyDescent="0.4">
      <c r="A192" s="41"/>
      <c r="D192" s="42"/>
      <c r="F192" s="42"/>
    </row>
    <row r="193" spans="1:6" x14ac:dyDescent="0.4">
      <c r="A193" s="41"/>
      <c r="D193" s="42"/>
      <c r="F193" s="42"/>
    </row>
    <row r="194" spans="1:6" x14ac:dyDescent="0.4">
      <c r="A194" s="41"/>
      <c r="E194" s="42"/>
      <c r="F194" s="42"/>
    </row>
    <row r="195" spans="1:6" x14ac:dyDescent="0.4">
      <c r="A195" s="41"/>
      <c r="D195" s="42"/>
      <c r="F195" s="42"/>
    </row>
    <row r="196" spans="1:6" x14ac:dyDescent="0.4">
      <c r="A196" s="41"/>
      <c r="F196" s="42"/>
    </row>
    <row r="197" spans="1:6" x14ac:dyDescent="0.4">
      <c r="A197" s="41"/>
      <c r="D197" s="42"/>
      <c r="F197" s="42"/>
    </row>
    <row r="198" spans="1:6" x14ac:dyDescent="0.4">
      <c r="A198" s="41"/>
      <c r="D198" s="42"/>
      <c r="F198" s="42"/>
    </row>
    <row r="199" spans="1:6" x14ac:dyDescent="0.4">
      <c r="A199" s="41"/>
      <c r="D199" s="42"/>
      <c r="F199" s="42"/>
    </row>
    <row r="200" spans="1:6" x14ac:dyDescent="0.4">
      <c r="A200" s="41"/>
      <c r="D200" s="42"/>
      <c r="F200" s="42"/>
    </row>
    <row r="201" spans="1:6" x14ac:dyDescent="0.4">
      <c r="A201" s="41"/>
      <c r="E201" s="42"/>
      <c r="F201" s="42"/>
    </row>
    <row r="202" spans="1:6" x14ac:dyDescent="0.4">
      <c r="A202" s="41"/>
      <c r="F202" s="42"/>
    </row>
    <row r="203" spans="1:6" x14ac:dyDescent="0.4">
      <c r="A203" s="41"/>
      <c r="D203" s="42"/>
      <c r="F203" s="42"/>
    </row>
    <row r="204" spans="1:6" x14ac:dyDescent="0.4">
      <c r="A204" s="41"/>
      <c r="D204" s="42"/>
      <c r="F204" s="42"/>
    </row>
    <row r="205" spans="1:6" x14ac:dyDescent="0.4">
      <c r="A205" s="41"/>
      <c r="D205" s="42"/>
      <c r="F205" s="42"/>
    </row>
    <row r="206" spans="1:6" x14ac:dyDescent="0.4">
      <c r="A206" s="41"/>
      <c r="D206" s="42"/>
      <c r="F206" s="42"/>
    </row>
    <row r="207" spans="1:6" x14ac:dyDescent="0.4">
      <c r="A207" s="41"/>
      <c r="F207" s="42"/>
    </row>
    <row r="208" spans="1:6" x14ac:dyDescent="0.4">
      <c r="A208" s="41"/>
      <c r="E208" s="42"/>
      <c r="F208" s="42"/>
    </row>
    <row r="209" spans="1:6" x14ac:dyDescent="0.4">
      <c r="A209" s="41"/>
      <c r="D209" s="42"/>
      <c r="F209" s="42"/>
    </row>
    <row r="210" spans="1:6" x14ac:dyDescent="0.4">
      <c r="A210" s="41"/>
      <c r="F210" s="42"/>
    </row>
    <row r="211" spans="1:6" x14ac:dyDescent="0.4">
      <c r="A211" s="41"/>
      <c r="D211" s="42"/>
      <c r="F211" s="42"/>
    </row>
    <row r="212" spans="1:6" x14ac:dyDescent="0.4">
      <c r="A212" s="41"/>
      <c r="D212" s="42"/>
      <c r="F212" s="42"/>
    </row>
    <row r="213" spans="1:6" x14ac:dyDescent="0.4">
      <c r="A213" s="41"/>
      <c r="D213" s="42"/>
      <c r="F213" s="42"/>
    </row>
    <row r="214" spans="1:6" x14ac:dyDescent="0.4">
      <c r="A214" s="41"/>
      <c r="D214" s="42"/>
      <c r="F214" s="42"/>
    </row>
    <row r="215" spans="1:6" x14ac:dyDescent="0.4">
      <c r="A215" s="41"/>
      <c r="D215" s="42"/>
      <c r="F215" s="42"/>
    </row>
    <row r="216" spans="1:6" x14ac:dyDescent="0.4">
      <c r="A216" s="41"/>
      <c r="D216" s="42"/>
      <c r="F216" s="42"/>
    </row>
    <row r="217" spans="1:6" x14ac:dyDescent="0.4">
      <c r="A217" s="41"/>
      <c r="D217" s="42"/>
      <c r="F217" s="42"/>
    </row>
    <row r="218" spans="1:6" x14ac:dyDescent="0.4">
      <c r="A218" s="41"/>
      <c r="D218" s="42"/>
      <c r="F218" s="42"/>
    </row>
    <row r="219" spans="1:6" x14ac:dyDescent="0.4">
      <c r="A219" s="41"/>
      <c r="E219" s="42"/>
      <c r="F219" s="42"/>
    </row>
    <row r="220" spans="1:6" x14ac:dyDescent="0.4">
      <c r="A220" s="41"/>
      <c r="D220" s="42"/>
      <c r="F220" s="42"/>
    </row>
    <row r="221" spans="1:6" x14ac:dyDescent="0.4">
      <c r="A221" s="41"/>
      <c r="F221" s="42"/>
    </row>
    <row r="222" spans="1:6" x14ac:dyDescent="0.4">
      <c r="A222" s="41"/>
      <c r="D222" s="42"/>
      <c r="F222" s="42"/>
    </row>
    <row r="223" spans="1:6" x14ac:dyDescent="0.4">
      <c r="A223" s="41"/>
      <c r="D223" s="42"/>
      <c r="F223" s="42"/>
    </row>
    <row r="224" spans="1:6" x14ac:dyDescent="0.4">
      <c r="A224" s="41"/>
      <c r="D224" s="42"/>
      <c r="F224" s="42"/>
    </row>
    <row r="225" spans="1:6" x14ac:dyDescent="0.4">
      <c r="A225" s="41"/>
      <c r="D225" s="42"/>
      <c r="F225" s="42"/>
    </row>
    <row r="226" spans="1:6" x14ac:dyDescent="0.4">
      <c r="A226" s="41"/>
      <c r="D226" s="42"/>
      <c r="F226" s="42"/>
    </row>
    <row r="227" spans="1:6" x14ac:dyDescent="0.4">
      <c r="A227" s="41"/>
      <c r="D227" s="42"/>
      <c r="F227" s="42"/>
    </row>
    <row r="228" spans="1:6" x14ac:dyDescent="0.4">
      <c r="A228" s="41"/>
      <c r="D228" s="42"/>
      <c r="F228" s="42"/>
    </row>
    <row r="229" spans="1:6" x14ac:dyDescent="0.4">
      <c r="A229" s="41"/>
      <c r="D229" s="42"/>
      <c r="F229" s="42"/>
    </row>
    <row r="230" spans="1:6" x14ac:dyDescent="0.4">
      <c r="A230" s="41"/>
      <c r="E230" s="42"/>
      <c r="F230" s="42"/>
    </row>
    <row r="231" spans="1:6" x14ac:dyDescent="0.4">
      <c r="A231" s="41"/>
      <c r="D231" s="42"/>
      <c r="F231" s="42"/>
    </row>
    <row r="232" spans="1:6" x14ac:dyDescent="0.4">
      <c r="A232" s="41"/>
      <c r="F232" s="42"/>
    </row>
    <row r="233" spans="1:6" x14ac:dyDescent="0.4">
      <c r="A233" s="41"/>
      <c r="D233" s="42"/>
      <c r="F233" s="42"/>
    </row>
    <row r="234" spans="1:6" x14ac:dyDescent="0.4">
      <c r="A234" s="41"/>
      <c r="D234" s="42"/>
      <c r="F234" s="42"/>
    </row>
    <row r="235" spans="1:6" x14ac:dyDescent="0.4">
      <c r="A235" s="41"/>
      <c r="D235" s="42"/>
      <c r="F235" s="42"/>
    </row>
    <row r="236" spans="1:6" x14ac:dyDescent="0.4">
      <c r="A236" s="41"/>
      <c r="D236" s="42"/>
      <c r="F236" s="42"/>
    </row>
    <row r="237" spans="1:6" x14ac:dyDescent="0.4">
      <c r="A237" s="41"/>
      <c r="D237" s="42"/>
      <c r="F237" s="42"/>
    </row>
    <row r="238" spans="1:6" x14ac:dyDescent="0.4">
      <c r="A238" s="41"/>
      <c r="D238" s="42"/>
      <c r="F238" s="42"/>
    </row>
    <row r="239" spans="1:6" x14ac:dyDescent="0.4">
      <c r="A239" s="41"/>
      <c r="D239" s="42"/>
      <c r="F239" s="42"/>
    </row>
    <row r="240" spans="1:6" x14ac:dyDescent="0.4">
      <c r="A240" s="41"/>
      <c r="E240" s="42"/>
      <c r="F240" s="42"/>
    </row>
    <row r="241" spans="1:6" x14ac:dyDescent="0.4">
      <c r="A241" s="41"/>
      <c r="D241" s="42"/>
      <c r="F241" s="42"/>
    </row>
    <row r="242" spans="1:6" x14ac:dyDescent="0.4">
      <c r="A242" s="41"/>
      <c r="F242" s="42"/>
    </row>
    <row r="243" spans="1:6" x14ac:dyDescent="0.4">
      <c r="A243" s="41"/>
      <c r="D243" s="42"/>
      <c r="F243" s="42"/>
    </row>
    <row r="244" spans="1:6" x14ac:dyDescent="0.4">
      <c r="A244" s="41"/>
      <c r="D244" s="42"/>
      <c r="F244" s="42"/>
    </row>
    <row r="245" spans="1:6" x14ac:dyDescent="0.4">
      <c r="A245" s="41"/>
      <c r="D245" s="42"/>
      <c r="F245" s="42"/>
    </row>
    <row r="246" spans="1:6" x14ac:dyDescent="0.4">
      <c r="A246" s="41"/>
      <c r="D246" s="42"/>
      <c r="F246" s="42"/>
    </row>
    <row r="247" spans="1:6" x14ac:dyDescent="0.4">
      <c r="A247" s="41"/>
      <c r="D247" s="42"/>
      <c r="F247" s="42"/>
    </row>
    <row r="248" spans="1:6" x14ac:dyDescent="0.4">
      <c r="A248" s="41"/>
      <c r="D248" s="42"/>
      <c r="F248" s="42"/>
    </row>
    <row r="249" spans="1:6" x14ac:dyDescent="0.4">
      <c r="A249" s="41"/>
      <c r="F249" s="42"/>
    </row>
    <row r="250" spans="1:6" x14ac:dyDescent="0.4">
      <c r="A250" s="41"/>
      <c r="D250" s="42"/>
      <c r="F250" s="42"/>
    </row>
    <row r="251" spans="1:6" x14ac:dyDescent="0.4">
      <c r="A251" s="41"/>
      <c r="D251" s="42"/>
      <c r="F251" s="42"/>
    </row>
    <row r="252" spans="1:6" x14ac:dyDescent="0.4">
      <c r="A252" s="41"/>
      <c r="D252" s="42"/>
      <c r="F252" s="42"/>
    </row>
    <row r="253" spans="1:6" x14ac:dyDescent="0.4">
      <c r="A253" s="41"/>
      <c r="E253" s="42"/>
      <c r="F253" s="42"/>
    </row>
    <row r="254" spans="1:6" x14ac:dyDescent="0.4">
      <c r="A254" s="41"/>
      <c r="D254" s="42"/>
      <c r="F254" s="42"/>
    </row>
    <row r="255" spans="1:6" x14ac:dyDescent="0.4">
      <c r="A255" s="41"/>
      <c r="F255" s="42"/>
    </row>
    <row r="256" spans="1:6" x14ac:dyDescent="0.4">
      <c r="A256" s="41"/>
      <c r="D256" s="42"/>
      <c r="F256" s="42"/>
    </row>
    <row r="257" spans="1:6" x14ac:dyDescent="0.4">
      <c r="A257" s="41"/>
      <c r="D257" s="42"/>
      <c r="F257" s="42"/>
    </row>
    <row r="258" spans="1:6" x14ac:dyDescent="0.4">
      <c r="A258" s="41"/>
      <c r="D258" s="42"/>
      <c r="F258" s="42"/>
    </row>
    <row r="259" spans="1:6" x14ac:dyDescent="0.4">
      <c r="A259" s="41"/>
      <c r="D259" s="42"/>
      <c r="F259" s="42"/>
    </row>
    <row r="260" spans="1:6" x14ac:dyDescent="0.4">
      <c r="A260" s="41"/>
      <c r="D260" s="42"/>
      <c r="F260" s="42"/>
    </row>
    <row r="261" spans="1:6" x14ac:dyDescent="0.4">
      <c r="A261" s="41"/>
      <c r="D261" s="42"/>
      <c r="F261" s="42"/>
    </row>
    <row r="262" spans="1:6" x14ac:dyDescent="0.4">
      <c r="A262" s="41"/>
      <c r="D262" s="42"/>
      <c r="F262" s="42"/>
    </row>
    <row r="263" spans="1:6" x14ac:dyDescent="0.4">
      <c r="A263" s="41"/>
      <c r="E263" s="42"/>
      <c r="F263" s="42"/>
    </row>
    <row r="264" spans="1:6" x14ac:dyDescent="0.4">
      <c r="A264" s="41"/>
      <c r="D264" s="42"/>
      <c r="F264" s="42"/>
    </row>
    <row r="265" spans="1:6" x14ac:dyDescent="0.4">
      <c r="A265" s="41"/>
      <c r="F265" s="42"/>
    </row>
    <row r="266" spans="1:6" x14ac:dyDescent="0.4">
      <c r="A266" s="41"/>
      <c r="D266" s="42"/>
      <c r="F266" s="42"/>
    </row>
    <row r="267" spans="1:6" x14ac:dyDescent="0.4">
      <c r="A267" s="41"/>
      <c r="D267" s="42"/>
      <c r="F267" s="42"/>
    </row>
    <row r="268" spans="1:6" x14ac:dyDescent="0.4">
      <c r="A268" s="41"/>
      <c r="F268" s="42"/>
    </row>
    <row r="269" spans="1:6" x14ac:dyDescent="0.4">
      <c r="A269" s="41"/>
      <c r="D269" s="42"/>
      <c r="F269" s="42"/>
    </row>
    <row r="270" spans="1:6" x14ac:dyDescent="0.4">
      <c r="A270" s="41"/>
      <c r="D270" s="42"/>
      <c r="F270" s="42"/>
    </row>
    <row r="271" spans="1:6" x14ac:dyDescent="0.4">
      <c r="A271" s="41"/>
      <c r="D271" s="42"/>
      <c r="F271" s="42"/>
    </row>
    <row r="272" spans="1:6" x14ac:dyDescent="0.4">
      <c r="A272" s="41"/>
      <c r="D272" s="42"/>
      <c r="F272" s="42"/>
    </row>
    <row r="273" spans="1:6" x14ac:dyDescent="0.4">
      <c r="A273" s="41"/>
      <c r="D273" s="42"/>
      <c r="F273" s="42"/>
    </row>
    <row r="274" spans="1:6" x14ac:dyDescent="0.4">
      <c r="A274" s="41"/>
      <c r="D274" s="42"/>
      <c r="F274" s="42"/>
    </row>
    <row r="275" spans="1:6" x14ac:dyDescent="0.4">
      <c r="A275" s="41"/>
      <c r="E275" s="42"/>
      <c r="F275" s="42"/>
    </row>
    <row r="276" spans="1:6" x14ac:dyDescent="0.4">
      <c r="A276" s="41"/>
      <c r="D276" s="42"/>
      <c r="F276" s="42"/>
    </row>
    <row r="277" spans="1:6" x14ac:dyDescent="0.4">
      <c r="A277" s="41"/>
      <c r="F277" s="42"/>
    </row>
    <row r="278" spans="1:6" x14ac:dyDescent="0.4">
      <c r="A278" s="41"/>
      <c r="D278" s="42"/>
      <c r="F278" s="42"/>
    </row>
    <row r="279" spans="1:6" x14ac:dyDescent="0.4">
      <c r="A279" s="41"/>
      <c r="D279" s="42"/>
      <c r="F279" s="42"/>
    </row>
    <row r="280" spans="1:6" x14ac:dyDescent="0.4">
      <c r="A280" s="41"/>
      <c r="D280" s="42"/>
      <c r="F280" s="42"/>
    </row>
    <row r="281" spans="1:6" x14ac:dyDescent="0.4">
      <c r="A281" s="41"/>
      <c r="D281" s="42"/>
      <c r="F281" s="42"/>
    </row>
    <row r="282" spans="1:6" x14ac:dyDescent="0.4">
      <c r="A282" s="41"/>
      <c r="E282" s="42"/>
      <c r="F282" s="42"/>
    </row>
    <row r="283" spans="1:6" x14ac:dyDescent="0.4">
      <c r="A283" s="41"/>
      <c r="E283" s="42"/>
      <c r="F283" s="42"/>
    </row>
    <row r="284" spans="1:6" x14ac:dyDescent="0.4">
      <c r="A284" s="41"/>
      <c r="D284" s="42"/>
      <c r="F284" s="42"/>
    </row>
    <row r="285" spans="1:6" x14ac:dyDescent="0.4">
      <c r="A285" s="41"/>
      <c r="D285" s="42"/>
      <c r="F285" s="42"/>
    </row>
    <row r="286" spans="1:6" x14ac:dyDescent="0.4">
      <c r="A286" s="41"/>
      <c r="D286" s="42"/>
      <c r="F286" s="42"/>
    </row>
    <row r="287" spans="1:6" x14ac:dyDescent="0.4">
      <c r="A287" s="41"/>
      <c r="D287" s="42"/>
      <c r="F287" s="42"/>
    </row>
    <row r="288" spans="1:6" x14ac:dyDescent="0.4">
      <c r="A288" s="41"/>
      <c r="E288" s="42"/>
      <c r="F288" s="42"/>
    </row>
    <row r="289" spans="1:6" x14ac:dyDescent="0.4">
      <c r="A289" s="41"/>
      <c r="D289" s="42"/>
      <c r="F289" s="42"/>
    </row>
    <row r="290" spans="1:6" x14ac:dyDescent="0.4">
      <c r="A290" s="41"/>
      <c r="F290" s="42"/>
    </row>
    <row r="291" spans="1:6" x14ac:dyDescent="0.4">
      <c r="A291" s="41"/>
      <c r="D291" s="42"/>
      <c r="F291" s="42"/>
    </row>
    <row r="292" spans="1:6" x14ac:dyDescent="0.4">
      <c r="A292" s="41"/>
      <c r="D292" s="42"/>
      <c r="F292" s="42"/>
    </row>
    <row r="293" spans="1:6" x14ac:dyDescent="0.4">
      <c r="A293" s="41"/>
      <c r="D293" s="42"/>
      <c r="F293" s="42"/>
    </row>
    <row r="294" spans="1:6" x14ac:dyDescent="0.4">
      <c r="A294" s="41"/>
      <c r="D294" s="42"/>
      <c r="F294" s="42"/>
    </row>
    <row r="295" spans="1:6" x14ac:dyDescent="0.4">
      <c r="A295" s="41"/>
      <c r="D295" s="42"/>
      <c r="F295" s="42"/>
    </row>
    <row r="296" spans="1:6" x14ac:dyDescent="0.4">
      <c r="A296" s="41"/>
      <c r="D296" s="42"/>
      <c r="F296" s="42"/>
    </row>
    <row r="297" spans="1:6" x14ac:dyDescent="0.4">
      <c r="A297" s="41"/>
      <c r="D297" s="42"/>
      <c r="F297" s="42"/>
    </row>
    <row r="298" spans="1:6" x14ac:dyDescent="0.4">
      <c r="A298" s="41"/>
      <c r="E298" s="42"/>
      <c r="F298" s="42"/>
    </row>
    <row r="299" spans="1:6" x14ac:dyDescent="0.4">
      <c r="A299" s="41"/>
      <c r="D299" s="42"/>
      <c r="F299" s="42"/>
    </row>
    <row r="300" spans="1:6" x14ac:dyDescent="0.4">
      <c r="A300" s="41"/>
      <c r="F300" s="42"/>
    </row>
    <row r="301" spans="1:6" x14ac:dyDescent="0.4">
      <c r="A301" s="41"/>
      <c r="D301" s="42"/>
      <c r="F301" s="42"/>
    </row>
    <row r="302" spans="1:6" x14ac:dyDescent="0.4">
      <c r="A302" s="41"/>
      <c r="D302" s="42"/>
      <c r="F302" s="42"/>
    </row>
    <row r="303" spans="1:6" x14ac:dyDescent="0.4">
      <c r="A303" s="41"/>
      <c r="D303" s="42"/>
      <c r="F303" s="42"/>
    </row>
    <row r="304" spans="1:6" x14ac:dyDescent="0.4">
      <c r="A304" s="41"/>
      <c r="D304" s="42"/>
      <c r="F304" s="42"/>
    </row>
    <row r="305" spans="1:6" x14ac:dyDescent="0.4">
      <c r="A305" s="41"/>
      <c r="D305" s="42"/>
      <c r="F305" s="42"/>
    </row>
    <row r="306" spans="1:6" x14ac:dyDescent="0.4">
      <c r="A306" s="41"/>
      <c r="D306" s="42"/>
      <c r="F306" s="42"/>
    </row>
    <row r="307" spans="1:6" x14ac:dyDescent="0.4">
      <c r="A307" s="41"/>
      <c r="D307" s="42"/>
      <c r="F307" s="42"/>
    </row>
    <row r="308" spans="1:6" x14ac:dyDescent="0.4">
      <c r="A308" s="41"/>
      <c r="E308" s="42"/>
      <c r="F308" s="42"/>
    </row>
    <row r="309" spans="1:6" x14ac:dyDescent="0.4">
      <c r="A309" s="41"/>
      <c r="D309" s="42"/>
      <c r="F309" s="42"/>
    </row>
    <row r="310" spans="1:6" x14ac:dyDescent="0.4">
      <c r="A310" s="41"/>
      <c r="F310" s="42"/>
    </row>
    <row r="311" spans="1:6" x14ac:dyDescent="0.4">
      <c r="A311" s="41"/>
      <c r="D311" s="42"/>
      <c r="F311" s="42"/>
    </row>
    <row r="312" spans="1:6" x14ac:dyDescent="0.4">
      <c r="A312" s="41"/>
      <c r="D312" s="42"/>
      <c r="F312" s="42"/>
    </row>
    <row r="313" spans="1:6" x14ac:dyDescent="0.4">
      <c r="A313" s="41"/>
      <c r="D313" s="42"/>
      <c r="F313" s="42"/>
    </row>
    <row r="314" spans="1:6" x14ac:dyDescent="0.4">
      <c r="A314" s="41"/>
      <c r="D314" s="42"/>
      <c r="F314" s="42"/>
    </row>
    <row r="315" spans="1:6" x14ac:dyDescent="0.4">
      <c r="A315" s="41"/>
      <c r="E315" s="42"/>
      <c r="F315" s="42"/>
    </row>
    <row r="316" spans="1:6" x14ac:dyDescent="0.4">
      <c r="A316" s="41"/>
      <c r="F316" s="42"/>
    </row>
    <row r="317" spans="1:6" x14ac:dyDescent="0.4">
      <c r="A317" s="41"/>
      <c r="D317" s="42"/>
      <c r="F317" s="42"/>
    </row>
    <row r="318" spans="1:6" x14ac:dyDescent="0.4">
      <c r="A318" s="41"/>
      <c r="D318" s="42"/>
      <c r="F318" s="42"/>
    </row>
    <row r="319" spans="1:6" x14ac:dyDescent="0.4">
      <c r="A319" s="41"/>
      <c r="D319" s="42"/>
      <c r="F319" s="42"/>
    </row>
    <row r="320" spans="1:6" x14ac:dyDescent="0.4">
      <c r="A320" s="41"/>
      <c r="D320" s="42"/>
      <c r="F320" s="42"/>
    </row>
    <row r="321" spans="1:6" x14ac:dyDescent="0.4">
      <c r="A321" s="41"/>
      <c r="F321" s="42"/>
    </row>
    <row r="322" spans="1:6" x14ac:dyDescent="0.4">
      <c r="A322" s="41"/>
      <c r="E322" s="42"/>
      <c r="F322" s="42"/>
    </row>
    <row r="323" spans="1:6" x14ac:dyDescent="0.4">
      <c r="A323" s="41"/>
      <c r="D323" s="42"/>
      <c r="F323" s="42"/>
    </row>
    <row r="324" spans="1:6" x14ac:dyDescent="0.4">
      <c r="A324" s="41"/>
      <c r="F324" s="42"/>
    </row>
    <row r="325" spans="1:6" x14ac:dyDescent="0.4">
      <c r="A325" s="41"/>
      <c r="D325" s="42"/>
      <c r="F325" s="42"/>
    </row>
    <row r="326" spans="1:6" x14ac:dyDescent="0.4">
      <c r="A326" s="41"/>
      <c r="D326" s="42"/>
      <c r="F326" s="42"/>
    </row>
    <row r="327" spans="1:6" x14ac:dyDescent="0.4">
      <c r="A327" s="41"/>
      <c r="D327" s="42"/>
      <c r="F327" s="42"/>
    </row>
    <row r="328" spans="1:6" x14ac:dyDescent="0.4">
      <c r="A328" s="41"/>
      <c r="D328" s="42"/>
      <c r="F328" s="42"/>
    </row>
    <row r="329" spans="1:6" x14ac:dyDescent="0.4">
      <c r="A329" s="41"/>
      <c r="D329" s="42"/>
      <c r="F329" s="42"/>
    </row>
    <row r="330" spans="1:6" x14ac:dyDescent="0.4">
      <c r="A330" s="41"/>
      <c r="D330" s="42"/>
      <c r="F330" s="42"/>
    </row>
    <row r="331" spans="1:6" x14ac:dyDescent="0.4">
      <c r="A331" s="41"/>
      <c r="D331" s="42"/>
      <c r="F331" s="42"/>
    </row>
    <row r="332" spans="1:6" x14ac:dyDescent="0.4">
      <c r="A332" s="41"/>
      <c r="D332" s="42"/>
      <c r="F332" s="42"/>
    </row>
    <row r="333" spans="1:6" x14ac:dyDescent="0.4">
      <c r="A333" s="41"/>
      <c r="E333" s="42"/>
      <c r="F333" s="42"/>
    </row>
    <row r="334" spans="1:6" x14ac:dyDescent="0.4">
      <c r="A334" s="41"/>
      <c r="D334" s="42"/>
      <c r="F334" s="42"/>
    </row>
    <row r="335" spans="1:6" x14ac:dyDescent="0.4">
      <c r="A335" s="41"/>
      <c r="F335" s="42"/>
    </row>
    <row r="336" spans="1:6" x14ac:dyDescent="0.4">
      <c r="A336" s="41"/>
      <c r="D336" s="42"/>
      <c r="F336" s="42"/>
    </row>
    <row r="337" spans="1:6" x14ac:dyDescent="0.4">
      <c r="A337" s="41"/>
      <c r="D337" s="42"/>
      <c r="F337" s="42"/>
    </row>
    <row r="338" spans="1:6" x14ac:dyDescent="0.4">
      <c r="A338" s="41"/>
      <c r="D338" s="42"/>
      <c r="F338" s="42"/>
    </row>
    <row r="339" spans="1:6" x14ac:dyDescent="0.4">
      <c r="A339" s="41"/>
      <c r="D339" s="42"/>
      <c r="F339" s="42"/>
    </row>
    <row r="340" spans="1:6" x14ac:dyDescent="0.4">
      <c r="A340" s="41"/>
      <c r="D340" s="42"/>
      <c r="F340" s="42"/>
    </row>
    <row r="341" spans="1:6" x14ac:dyDescent="0.4">
      <c r="A341" s="41"/>
      <c r="D341" s="42"/>
      <c r="F341" s="42"/>
    </row>
    <row r="342" spans="1:6" x14ac:dyDescent="0.4">
      <c r="A342" s="41"/>
      <c r="D342" s="42"/>
      <c r="F342" s="42"/>
    </row>
    <row r="343" spans="1:6" x14ac:dyDescent="0.4">
      <c r="A343" s="41"/>
      <c r="D343" s="42"/>
      <c r="F343" s="42"/>
    </row>
    <row r="344" spans="1:6" x14ac:dyDescent="0.4">
      <c r="A344" s="41"/>
      <c r="E344" s="42"/>
      <c r="F344" s="42"/>
    </row>
    <row r="345" spans="1:6" x14ac:dyDescent="0.4">
      <c r="A345" s="41"/>
      <c r="D345" s="42"/>
      <c r="F345" s="42"/>
    </row>
    <row r="346" spans="1:6" x14ac:dyDescent="0.4">
      <c r="A346" s="41"/>
      <c r="F346" s="42"/>
    </row>
    <row r="347" spans="1:6" x14ac:dyDescent="0.4">
      <c r="A347" s="41"/>
      <c r="D347" s="42"/>
      <c r="F347" s="42"/>
    </row>
    <row r="348" spans="1:6" x14ac:dyDescent="0.4">
      <c r="A348" s="41"/>
      <c r="D348" s="42"/>
      <c r="F348" s="42"/>
    </row>
    <row r="349" spans="1:6" x14ac:dyDescent="0.4">
      <c r="A349" s="41"/>
      <c r="D349" s="42"/>
      <c r="F349" s="42"/>
    </row>
    <row r="350" spans="1:6" x14ac:dyDescent="0.4">
      <c r="A350" s="41"/>
      <c r="D350" s="42"/>
      <c r="F350" s="42"/>
    </row>
    <row r="351" spans="1:6" x14ac:dyDescent="0.4">
      <c r="A351" s="41"/>
      <c r="D351" s="42"/>
      <c r="F351" s="42"/>
    </row>
    <row r="352" spans="1:6" x14ac:dyDescent="0.4">
      <c r="A352" s="41"/>
      <c r="D352" s="42"/>
      <c r="F352" s="42"/>
    </row>
    <row r="353" spans="1:6" x14ac:dyDescent="0.4">
      <c r="A353" s="41"/>
      <c r="D353" s="42"/>
      <c r="F353" s="42"/>
    </row>
    <row r="354" spans="1:6" x14ac:dyDescent="0.4">
      <c r="A354" s="41"/>
      <c r="E354" s="42"/>
      <c r="F354" s="42"/>
    </row>
    <row r="355" spans="1:6" x14ac:dyDescent="0.4">
      <c r="A355" s="41"/>
      <c r="D355" s="42"/>
      <c r="F355" s="42"/>
    </row>
    <row r="356" spans="1:6" x14ac:dyDescent="0.4">
      <c r="A356" s="41"/>
      <c r="F356" s="42"/>
    </row>
    <row r="357" spans="1:6" x14ac:dyDescent="0.4">
      <c r="A357" s="41"/>
      <c r="D357" s="42"/>
      <c r="F357" s="42"/>
    </row>
    <row r="358" spans="1:6" x14ac:dyDescent="0.4">
      <c r="A358" s="41"/>
      <c r="D358" s="42"/>
      <c r="F358" s="42"/>
    </row>
    <row r="359" spans="1:6" x14ac:dyDescent="0.4">
      <c r="A359" s="41"/>
      <c r="D359" s="42"/>
      <c r="F359" s="42"/>
    </row>
    <row r="360" spans="1:6" x14ac:dyDescent="0.4">
      <c r="A360" s="41"/>
      <c r="D360" s="42"/>
      <c r="F360" s="42"/>
    </row>
    <row r="361" spans="1:6" x14ac:dyDescent="0.4">
      <c r="A361" s="41"/>
      <c r="D361" s="42"/>
      <c r="F361" s="42"/>
    </row>
    <row r="362" spans="1:6" x14ac:dyDescent="0.4">
      <c r="A362" s="41"/>
      <c r="D362" s="42"/>
      <c r="F362" s="42"/>
    </row>
    <row r="363" spans="1:6" x14ac:dyDescent="0.4">
      <c r="A363" s="41"/>
      <c r="F363" s="42"/>
    </row>
    <row r="364" spans="1:6" x14ac:dyDescent="0.4">
      <c r="A364" s="41"/>
      <c r="D364" s="42"/>
      <c r="F364" s="42"/>
    </row>
    <row r="365" spans="1:6" x14ac:dyDescent="0.4">
      <c r="A365" s="41"/>
      <c r="D365" s="42"/>
      <c r="F365" s="42"/>
    </row>
    <row r="366" spans="1:6" x14ac:dyDescent="0.4">
      <c r="A366" s="41"/>
      <c r="D366" s="42"/>
      <c r="F366" s="42"/>
    </row>
    <row r="367" spans="1:6" x14ac:dyDescent="0.4">
      <c r="A367" s="41"/>
      <c r="E367" s="42"/>
      <c r="F367" s="42"/>
    </row>
    <row r="368" spans="1:6" x14ac:dyDescent="0.4">
      <c r="A368" s="41"/>
      <c r="D368" s="42"/>
      <c r="F368" s="42"/>
    </row>
    <row r="369" spans="1:6" x14ac:dyDescent="0.4">
      <c r="A369" s="41"/>
      <c r="F369" s="42"/>
    </row>
    <row r="370" spans="1:6" x14ac:dyDescent="0.4">
      <c r="A370" s="41"/>
      <c r="D370" s="42"/>
      <c r="F370" s="42"/>
    </row>
    <row r="371" spans="1:6" x14ac:dyDescent="0.4">
      <c r="A371" s="41"/>
      <c r="D371" s="42"/>
      <c r="F371" s="42"/>
    </row>
    <row r="372" spans="1:6" x14ac:dyDescent="0.4">
      <c r="A372" s="41"/>
      <c r="D372" s="42"/>
      <c r="F372" s="42"/>
    </row>
    <row r="373" spans="1:6" x14ac:dyDescent="0.4">
      <c r="A373" s="41"/>
      <c r="D373" s="42"/>
      <c r="F373" s="42"/>
    </row>
    <row r="374" spans="1:6" x14ac:dyDescent="0.4">
      <c r="A374" s="41"/>
      <c r="D374" s="42"/>
      <c r="F374" s="42"/>
    </row>
    <row r="375" spans="1:6" x14ac:dyDescent="0.4">
      <c r="A375" s="41"/>
      <c r="D375" s="42"/>
      <c r="F375" s="42"/>
    </row>
    <row r="376" spans="1:6" x14ac:dyDescent="0.4">
      <c r="A376" s="41"/>
      <c r="D376" s="42"/>
      <c r="F376" s="42"/>
    </row>
    <row r="377" spans="1:6" x14ac:dyDescent="0.4">
      <c r="A377" s="41"/>
      <c r="E377" s="42"/>
      <c r="F377" s="42"/>
    </row>
    <row r="378" spans="1:6" x14ac:dyDescent="0.4">
      <c r="A378" s="41"/>
      <c r="D378" s="42"/>
      <c r="F378" s="42"/>
    </row>
    <row r="379" spans="1:6" x14ac:dyDescent="0.4">
      <c r="A379" s="41"/>
      <c r="F379" s="42"/>
    </row>
    <row r="380" spans="1:6" x14ac:dyDescent="0.4">
      <c r="A380" s="41"/>
      <c r="D380" s="42"/>
      <c r="F380" s="42"/>
    </row>
    <row r="381" spans="1:6" x14ac:dyDescent="0.4">
      <c r="A381" s="41"/>
      <c r="D381" s="42"/>
      <c r="F381" s="42"/>
    </row>
    <row r="382" spans="1:6" x14ac:dyDescent="0.4">
      <c r="A382" s="41"/>
      <c r="F382" s="42"/>
    </row>
    <row r="383" spans="1:6" x14ac:dyDescent="0.4">
      <c r="A383" s="41"/>
      <c r="D383" s="42"/>
      <c r="F383" s="42"/>
    </row>
    <row r="384" spans="1:6" x14ac:dyDescent="0.4">
      <c r="A384" s="41"/>
      <c r="D384" s="42"/>
      <c r="F384" s="42"/>
    </row>
    <row r="385" spans="1:6" x14ac:dyDescent="0.4">
      <c r="A385" s="41"/>
      <c r="D385" s="42"/>
      <c r="F385" s="42"/>
    </row>
    <row r="386" spans="1:6" x14ac:dyDescent="0.4">
      <c r="A386" s="41"/>
      <c r="D386" s="42"/>
      <c r="F386" s="42"/>
    </row>
    <row r="387" spans="1:6" x14ac:dyDescent="0.4">
      <c r="A387" s="41"/>
      <c r="D387" s="42"/>
      <c r="F387" s="42"/>
    </row>
    <row r="388" spans="1:6" x14ac:dyDescent="0.4">
      <c r="A388" s="41"/>
      <c r="D388" s="42"/>
      <c r="F388" s="42"/>
    </row>
    <row r="389" spans="1:6" x14ac:dyDescent="0.4">
      <c r="A389" s="41"/>
      <c r="E389" s="42"/>
      <c r="F389" s="42"/>
    </row>
    <row r="390" spans="1:6" x14ac:dyDescent="0.4">
      <c r="A390" s="41"/>
      <c r="D390" s="42"/>
      <c r="F390" s="42"/>
    </row>
    <row r="391" spans="1:6" x14ac:dyDescent="0.4">
      <c r="A391" s="41"/>
      <c r="F391" s="42"/>
    </row>
    <row r="392" spans="1:6" x14ac:dyDescent="0.4">
      <c r="A392" s="41"/>
      <c r="D392" s="42"/>
      <c r="F392" s="42"/>
    </row>
    <row r="393" spans="1:6" x14ac:dyDescent="0.4">
      <c r="A393" s="41"/>
      <c r="D393" s="42"/>
      <c r="F393" s="42"/>
    </row>
    <row r="394" spans="1:6" x14ac:dyDescent="0.4">
      <c r="A394" s="41"/>
      <c r="D394" s="42"/>
      <c r="F394" s="42"/>
    </row>
    <row r="395" spans="1:6" x14ac:dyDescent="0.4">
      <c r="A395" s="41"/>
      <c r="D395" s="42"/>
      <c r="F395" s="42"/>
    </row>
    <row r="396" spans="1:6" x14ac:dyDescent="0.4">
      <c r="A396" s="41"/>
      <c r="E396" s="42"/>
      <c r="F396" s="42"/>
    </row>
    <row r="397" spans="1:6" x14ac:dyDescent="0.4">
      <c r="A397" s="41"/>
      <c r="E397" s="42"/>
      <c r="F397" s="42"/>
    </row>
    <row r="398" spans="1:6" x14ac:dyDescent="0.4">
      <c r="A398" s="41"/>
      <c r="D398" s="42"/>
      <c r="F398" s="42"/>
    </row>
    <row r="399" spans="1:6" x14ac:dyDescent="0.4">
      <c r="A399" s="41"/>
      <c r="D399" s="42"/>
      <c r="F399" s="42"/>
    </row>
    <row r="400" spans="1:6" x14ac:dyDescent="0.4">
      <c r="A400" s="41"/>
      <c r="D400" s="42"/>
      <c r="F400" s="42"/>
    </row>
    <row r="401" spans="1:6" x14ac:dyDescent="0.4">
      <c r="A401" s="41"/>
      <c r="D401" s="42"/>
      <c r="F401" s="42"/>
    </row>
    <row r="402" spans="1:6" x14ac:dyDescent="0.4">
      <c r="A402" s="41"/>
      <c r="E402" s="42"/>
      <c r="F402" s="42"/>
    </row>
    <row r="403" spans="1:6" x14ac:dyDescent="0.4">
      <c r="A403" s="41"/>
      <c r="D403" s="42"/>
      <c r="F403" s="42"/>
    </row>
    <row r="404" spans="1:6" x14ac:dyDescent="0.4">
      <c r="A404" s="41"/>
      <c r="F404" s="42"/>
    </row>
    <row r="405" spans="1:6" x14ac:dyDescent="0.4">
      <c r="A405" s="41"/>
      <c r="D405" s="42"/>
      <c r="F405" s="42"/>
    </row>
    <row r="406" spans="1:6" x14ac:dyDescent="0.4">
      <c r="A406" s="41"/>
      <c r="D406" s="42"/>
      <c r="F406" s="42"/>
    </row>
    <row r="407" spans="1:6" x14ac:dyDescent="0.4">
      <c r="A407" s="41"/>
      <c r="D407" s="42"/>
      <c r="F407" s="42"/>
    </row>
    <row r="408" spans="1:6" x14ac:dyDescent="0.4">
      <c r="A408" s="41"/>
      <c r="D408" s="42"/>
      <c r="F408" s="42"/>
    </row>
    <row r="409" spans="1:6" x14ac:dyDescent="0.4">
      <c r="A409" s="41"/>
      <c r="D409" s="42"/>
      <c r="F409" s="42"/>
    </row>
    <row r="410" spans="1:6" x14ac:dyDescent="0.4">
      <c r="A410" s="41"/>
      <c r="D410" s="42"/>
      <c r="F410" s="42"/>
    </row>
    <row r="411" spans="1:6" x14ac:dyDescent="0.4">
      <c r="A411" s="41"/>
      <c r="D411" s="42"/>
      <c r="F411" s="42"/>
    </row>
    <row r="412" spans="1:6" x14ac:dyDescent="0.4">
      <c r="A412" s="41"/>
      <c r="E412" s="42"/>
      <c r="F412" s="42"/>
    </row>
    <row r="413" spans="1:6" x14ac:dyDescent="0.4">
      <c r="A413" s="41"/>
      <c r="D413" s="42"/>
      <c r="F413" s="42"/>
    </row>
    <row r="414" spans="1:6" x14ac:dyDescent="0.4">
      <c r="A414" s="41"/>
      <c r="F414" s="42"/>
    </row>
    <row r="415" spans="1:6" x14ac:dyDescent="0.4">
      <c r="A415" s="41"/>
      <c r="D415" s="42"/>
      <c r="F415" s="42"/>
    </row>
    <row r="416" spans="1:6" x14ac:dyDescent="0.4">
      <c r="A416" s="41"/>
      <c r="D416" s="42"/>
      <c r="F416" s="42"/>
    </row>
    <row r="417" spans="1:6" x14ac:dyDescent="0.4">
      <c r="A417" s="41"/>
      <c r="D417" s="42"/>
      <c r="F417" s="42"/>
    </row>
    <row r="418" spans="1:6" x14ac:dyDescent="0.4">
      <c r="A418" s="41"/>
      <c r="D418" s="42"/>
      <c r="F418" s="42"/>
    </row>
    <row r="419" spans="1:6" x14ac:dyDescent="0.4">
      <c r="A419" s="41"/>
      <c r="D419" s="42"/>
      <c r="F419" s="42"/>
    </row>
    <row r="420" spans="1:6" x14ac:dyDescent="0.4">
      <c r="A420" s="41"/>
      <c r="D420" s="42"/>
      <c r="F420" s="42"/>
    </row>
    <row r="421" spans="1:6" x14ac:dyDescent="0.4">
      <c r="A421" s="41"/>
      <c r="D421" s="42"/>
      <c r="F421" s="42"/>
    </row>
    <row r="422" spans="1:6" x14ac:dyDescent="0.4">
      <c r="A422" s="41"/>
      <c r="E422" s="42"/>
      <c r="F422" s="42"/>
    </row>
    <row r="423" spans="1:6" x14ac:dyDescent="0.4">
      <c r="A423" s="41"/>
      <c r="D423" s="42"/>
      <c r="F423" s="42"/>
    </row>
    <row r="424" spans="1:6" x14ac:dyDescent="0.4">
      <c r="A424" s="41"/>
      <c r="F424" s="42"/>
    </row>
    <row r="425" spans="1:6" x14ac:dyDescent="0.4">
      <c r="A425" s="41"/>
      <c r="D425" s="42"/>
      <c r="F425" s="42"/>
    </row>
    <row r="426" spans="1:6" x14ac:dyDescent="0.4">
      <c r="A426" s="41"/>
      <c r="D426" s="42"/>
      <c r="F426" s="42"/>
    </row>
    <row r="427" spans="1:6" x14ac:dyDescent="0.4">
      <c r="A427" s="41"/>
      <c r="D427" s="42"/>
      <c r="F427" s="42"/>
    </row>
    <row r="428" spans="1:6" x14ac:dyDescent="0.4">
      <c r="A428" s="41"/>
      <c r="D428" s="42"/>
      <c r="F428" s="42"/>
    </row>
    <row r="429" spans="1:6" x14ac:dyDescent="0.4">
      <c r="A429" s="41"/>
      <c r="E429" s="42"/>
      <c r="F429" s="42"/>
    </row>
    <row r="430" spans="1:6" x14ac:dyDescent="0.4">
      <c r="A430" s="41"/>
      <c r="F430" s="42"/>
    </row>
    <row r="431" spans="1:6" x14ac:dyDescent="0.4">
      <c r="A431" s="41"/>
      <c r="D431" s="42"/>
      <c r="F431" s="42"/>
    </row>
    <row r="432" spans="1:6" x14ac:dyDescent="0.4">
      <c r="A432" s="41"/>
      <c r="D432" s="42"/>
      <c r="F432" s="42"/>
    </row>
    <row r="433" spans="1:6" x14ac:dyDescent="0.4">
      <c r="A433" s="41"/>
      <c r="D433" s="42"/>
      <c r="F433" s="42"/>
    </row>
    <row r="434" spans="1:6" x14ac:dyDescent="0.4">
      <c r="A434" s="41"/>
      <c r="D434" s="42"/>
      <c r="F434" s="42"/>
    </row>
    <row r="435" spans="1:6" x14ac:dyDescent="0.4">
      <c r="A435" s="41"/>
      <c r="F435" s="42"/>
    </row>
    <row r="436" spans="1:6" x14ac:dyDescent="0.4">
      <c r="A436" s="41"/>
      <c r="E436" s="42"/>
      <c r="F436" s="42"/>
    </row>
    <row r="437" spans="1:6" x14ac:dyDescent="0.4">
      <c r="A437" s="41"/>
      <c r="D437" s="42"/>
      <c r="F437" s="42"/>
    </row>
    <row r="438" spans="1:6" x14ac:dyDescent="0.4">
      <c r="A438" s="41"/>
      <c r="F438" s="42"/>
    </row>
    <row r="439" spans="1:6" x14ac:dyDescent="0.4">
      <c r="A439" s="41"/>
      <c r="D439" s="42"/>
      <c r="F439" s="42"/>
    </row>
    <row r="440" spans="1:6" x14ac:dyDescent="0.4">
      <c r="A440" s="41"/>
      <c r="D440" s="42"/>
      <c r="F440" s="42"/>
    </row>
    <row r="441" spans="1:6" x14ac:dyDescent="0.4">
      <c r="A441" s="41"/>
      <c r="D441" s="42"/>
      <c r="F441" s="42"/>
    </row>
    <row r="442" spans="1:6" x14ac:dyDescent="0.4">
      <c r="A442" s="41"/>
      <c r="D442" s="42"/>
      <c r="F442" s="42"/>
    </row>
    <row r="443" spans="1:6" x14ac:dyDescent="0.4">
      <c r="A443" s="41"/>
      <c r="D443" s="42"/>
      <c r="F443" s="42"/>
    </row>
    <row r="444" spans="1:6" x14ac:dyDescent="0.4">
      <c r="A444" s="41"/>
      <c r="D444" s="42"/>
      <c r="F444" s="42"/>
    </row>
    <row r="445" spans="1:6" x14ac:dyDescent="0.4">
      <c r="A445" s="41"/>
      <c r="D445" s="42"/>
      <c r="F445" s="42"/>
    </row>
    <row r="446" spans="1:6" x14ac:dyDescent="0.4">
      <c r="A446" s="41"/>
      <c r="D446" s="42"/>
      <c r="F446" s="42"/>
    </row>
    <row r="447" spans="1:6" x14ac:dyDescent="0.4">
      <c r="A447" s="41"/>
      <c r="E447" s="42"/>
      <c r="F447" s="42"/>
    </row>
    <row r="448" spans="1:6" x14ac:dyDescent="0.4">
      <c r="A448" s="41"/>
      <c r="D448" s="42"/>
      <c r="F448" s="42"/>
    </row>
    <row r="449" spans="1:6" x14ac:dyDescent="0.4">
      <c r="A449" s="41"/>
      <c r="F449" s="42"/>
    </row>
    <row r="450" spans="1:6" x14ac:dyDescent="0.4">
      <c r="A450" s="41"/>
      <c r="D450" s="42"/>
      <c r="F450" s="42"/>
    </row>
    <row r="451" spans="1:6" x14ac:dyDescent="0.4">
      <c r="A451" s="41"/>
      <c r="D451" s="42"/>
      <c r="F451" s="42"/>
    </row>
    <row r="452" spans="1:6" x14ac:dyDescent="0.4">
      <c r="A452" s="41"/>
      <c r="D452" s="42"/>
      <c r="F452" s="42"/>
    </row>
    <row r="453" spans="1:6" x14ac:dyDescent="0.4">
      <c r="A453" s="41"/>
      <c r="D453" s="42"/>
      <c r="F453" s="42"/>
    </row>
    <row r="454" spans="1:6" x14ac:dyDescent="0.4">
      <c r="A454" s="41"/>
      <c r="D454" s="42"/>
      <c r="F454" s="42"/>
    </row>
    <row r="455" spans="1:6" x14ac:dyDescent="0.4">
      <c r="A455" s="41"/>
      <c r="D455" s="42"/>
      <c r="F455" s="42"/>
    </row>
    <row r="456" spans="1:6" x14ac:dyDescent="0.4">
      <c r="A456" s="41"/>
      <c r="D456" s="42"/>
      <c r="F456" s="42"/>
    </row>
    <row r="457" spans="1:6" x14ac:dyDescent="0.4">
      <c r="A457" s="41"/>
      <c r="D457" s="42"/>
      <c r="F457" s="42"/>
    </row>
    <row r="458" spans="1:6" x14ac:dyDescent="0.4">
      <c r="A458" s="41"/>
      <c r="E458" s="42"/>
      <c r="F458" s="4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230"/>
  <sheetViews>
    <sheetView workbookViewId="0">
      <selection activeCell="H35" sqref="H35"/>
    </sheetView>
  </sheetViews>
  <sheetFormatPr defaultRowHeight="18.75" x14ac:dyDescent="0.4"/>
  <cols>
    <col min="1" max="1" width="11.375" style="1" bestFit="1" customWidth="1"/>
    <col min="2" max="2" width="11" style="1" bestFit="1" customWidth="1"/>
    <col min="3" max="3" width="27.625" style="1" bestFit="1" customWidth="1"/>
    <col min="4" max="5" width="8" style="1" bestFit="1" customWidth="1"/>
    <col min="6" max="6" width="9.5" style="1" bestFit="1" customWidth="1"/>
    <col min="7" max="7" width="5.25" style="1" bestFit="1" customWidth="1"/>
    <col min="8" max="8" width="13" style="1" bestFit="1" customWidth="1"/>
    <col min="9" max="9" width="11" style="1" bestFit="1" customWidth="1"/>
    <col min="10" max="34" width="9" style="1" customWidth="1"/>
    <col min="35" max="16384" width="9" style="1"/>
  </cols>
  <sheetData>
    <row r="1" spans="1:9" x14ac:dyDescent="0.4">
      <c r="A1" s="26" t="s">
        <v>27</v>
      </c>
    </row>
    <row r="2" spans="1:9" x14ac:dyDescent="0.4">
      <c r="A2" s="30" t="s">
        <v>18</v>
      </c>
      <c r="B2" s="30" t="s">
        <v>19</v>
      </c>
      <c r="C2" s="30" t="s">
        <v>20</v>
      </c>
      <c r="D2" s="30" t="s">
        <v>21</v>
      </c>
      <c r="E2" s="30" t="s">
        <v>22</v>
      </c>
      <c r="F2" s="30" t="s">
        <v>23</v>
      </c>
      <c r="G2" s="30" t="s">
        <v>24</v>
      </c>
      <c r="H2" s="30" t="s">
        <v>25</v>
      </c>
      <c r="I2" s="30" t="s">
        <v>26</v>
      </c>
    </row>
    <row r="3" spans="1:9" x14ac:dyDescent="0.4">
      <c r="A3" s="38">
        <v>43831</v>
      </c>
      <c r="B3" t="s">
        <v>123</v>
      </c>
      <c r="C3" t="s">
        <v>124</v>
      </c>
      <c r="D3" s="39">
        <v>80000</v>
      </c>
      <c r="F3" s="39">
        <v>1595728</v>
      </c>
      <c r="G3"/>
      <c r="H3"/>
      <c r="I3" t="s">
        <v>125</v>
      </c>
    </row>
    <row r="4" spans="1:9" x14ac:dyDescent="0.4">
      <c r="A4" s="38">
        <v>43831</v>
      </c>
      <c r="B4" t="s">
        <v>126</v>
      </c>
      <c r="C4" t="s">
        <v>127</v>
      </c>
      <c r="D4" s="39">
        <v>330</v>
      </c>
      <c r="F4" s="39">
        <v>1595398</v>
      </c>
      <c r="G4"/>
      <c r="H4"/>
      <c r="I4" t="s">
        <v>125</v>
      </c>
    </row>
    <row r="5" spans="1:9" x14ac:dyDescent="0.4">
      <c r="A5" s="38">
        <v>43831</v>
      </c>
      <c r="B5" t="s">
        <v>128</v>
      </c>
      <c r="C5" t="s">
        <v>129</v>
      </c>
      <c r="D5" s="39">
        <v>300000</v>
      </c>
      <c r="F5" s="39">
        <v>1295398</v>
      </c>
      <c r="G5"/>
      <c r="H5"/>
      <c r="I5" t="s">
        <v>125</v>
      </c>
    </row>
    <row r="6" spans="1:9" x14ac:dyDescent="0.4">
      <c r="A6" s="38">
        <v>43836</v>
      </c>
      <c r="B6" t="s">
        <v>130</v>
      </c>
      <c r="C6" t="s">
        <v>131</v>
      </c>
      <c r="D6" s="39">
        <v>50000</v>
      </c>
      <c r="F6" s="39">
        <v>1245398</v>
      </c>
      <c r="G6"/>
      <c r="H6"/>
      <c r="I6" t="s">
        <v>125</v>
      </c>
    </row>
    <row r="7" spans="1:9" x14ac:dyDescent="0.4">
      <c r="A7" s="38">
        <v>43836</v>
      </c>
      <c r="B7" t="s">
        <v>130</v>
      </c>
      <c r="C7" t="s">
        <v>132</v>
      </c>
      <c r="D7" s="39">
        <v>50000</v>
      </c>
      <c r="F7" s="39">
        <v>1195398</v>
      </c>
      <c r="G7"/>
      <c r="H7"/>
      <c r="I7" t="s">
        <v>125</v>
      </c>
    </row>
    <row r="8" spans="1:9" x14ac:dyDescent="0.4">
      <c r="A8" s="38">
        <v>43836</v>
      </c>
      <c r="B8" t="s">
        <v>130</v>
      </c>
      <c r="C8" t="s">
        <v>133</v>
      </c>
      <c r="D8" s="39">
        <v>98252</v>
      </c>
      <c r="F8" s="39">
        <v>1097146</v>
      </c>
      <c r="G8"/>
      <c r="H8"/>
      <c r="I8" t="s">
        <v>125</v>
      </c>
    </row>
    <row r="9" spans="1:9" x14ac:dyDescent="0.4">
      <c r="A9" s="38">
        <v>43850</v>
      </c>
      <c r="B9" t="s">
        <v>130</v>
      </c>
      <c r="C9" t="s">
        <v>134</v>
      </c>
      <c r="D9" s="39">
        <v>1000</v>
      </c>
      <c r="F9" s="39">
        <v>1096146</v>
      </c>
      <c r="G9"/>
      <c r="H9"/>
      <c r="I9" t="s">
        <v>125</v>
      </c>
    </row>
    <row r="10" spans="1:9" x14ac:dyDescent="0.4">
      <c r="A10" s="38">
        <v>43857</v>
      </c>
      <c r="B10" t="s">
        <v>130</v>
      </c>
      <c r="C10" t="s">
        <v>135</v>
      </c>
      <c r="D10" s="39">
        <v>30000</v>
      </c>
      <c r="F10" s="39">
        <v>1066146</v>
      </c>
      <c r="G10"/>
      <c r="H10"/>
      <c r="I10" t="s">
        <v>125</v>
      </c>
    </row>
    <row r="11" spans="1:9" x14ac:dyDescent="0.4">
      <c r="A11" s="38">
        <v>43857</v>
      </c>
      <c r="B11" t="s">
        <v>136</v>
      </c>
      <c r="C11" t="s">
        <v>137</v>
      </c>
      <c r="D11" s="39">
        <v>188723</v>
      </c>
      <c r="F11" s="39">
        <v>877423</v>
      </c>
      <c r="G11"/>
      <c r="H11"/>
      <c r="I11" t="s">
        <v>125</v>
      </c>
    </row>
    <row r="12" spans="1:9" x14ac:dyDescent="0.4">
      <c r="A12" s="38">
        <v>43861</v>
      </c>
      <c r="B12" t="s">
        <v>138</v>
      </c>
      <c r="C12" t="s">
        <v>139</v>
      </c>
      <c r="E12" s="39">
        <v>648635</v>
      </c>
      <c r="F12" s="39">
        <v>1526058</v>
      </c>
      <c r="G12"/>
      <c r="H12"/>
      <c r="I12" t="s">
        <v>140</v>
      </c>
    </row>
    <row r="13" spans="1:9" x14ac:dyDescent="0.4">
      <c r="A13" s="38">
        <v>43862</v>
      </c>
      <c r="B13" t="s">
        <v>123</v>
      </c>
      <c r="C13" t="s">
        <v>124</v>
      </c>
      <c r="D13" s="39">
        <v>80000</v>
      </c>
      <c r="F13" s="39">
        <v>1446058</v>
      </c>
      <c r="G13"/>
      <c r="H13"/>
      <c r="I13" t="s">
        <v>125</v>
      </c>
    </row>
    <row r="14" spans="1:9" x14ac:dyDescent="0.4">
      <c r="A14" s="38">
        <v>43862</v>
      </c>
      <c r="B14" t="s">
        <v>126</v>
      </c>
      <c r="C14" t="s">
        <v>127</v>
      </c>
      <c r="D14" s="39">
        <v>330</v>
      </c>
      <c r="F14" s="39">
        <v>1445728</v>
      </c>
      <c r="G14"/>
      <c r="H14"/>
      <c r="I14" t="s">
        <v>125</v>
      </c>
    </row>
    <row r="15" spans="1:9" x14ac:dyDescent="0.4">
      <c r="A15" s="38">
        <v>43862</v>
      </c>
      <c r="B15" t="s">
        <v>128</v>
      </c>
      <c r="C15" t="s">
        <v>129</v>
      </c>
      <c r="D15" s="39">
        <v>300000</v>
      </c>
      <c r="F15" s="39">
        <v>1145728</v>
      </c>
      <c r="G15"/>
      <c r="H15"/>
      <c r="I15" t="s">
        <v>125</v>
      </c>
    </row>
    <row r="16" spans="1:9" x14ac:dyDescent="0.4">
      <c r="A16" s="38">
        <v>43865</v>
      </c>
      <c r="B16" t="s">
        <v>130</v>
      </c>
      <c r="C16" t="s">
        <v>133</v>
      </c>
      <c r="D16" s="39">
        <v>67699</v>
      </c>
      <c r="F16" s="39">
        <v>1078029</v>
      </c>
      <c r="G16"/>
      <c r="H16"/>
      <c r="I16" t="s">
        <v>125</v>
      </c>
    </row>
    <row r="17" spans="1:9" x14ac:dyDescent="0.4">
      <c r="A17" s="38">
        <v>43867</v>
      </c>
      <c r="B17" t="s">
        <v>130</v>
      </c>
      <c r="C17" t="s">
        <v>131</v>
      </c>
      <c r="D17" s="39">
        <v>10000</v>
      </c>
      <c r="F17" s="39">
        <v>1068029</v>
      </c>
      <c r="G17"/>
      <c r="H17"/>
      <c r="I17" t="s">
        <v>125</v>
      </c>
    </row>
    <row r="18" spans="1:9" x14ac:dyDescent="0.4">
      <c r="A18" s="38">
        <v>43867</v>
      </c>
      <c r="B18" t="s">
        <v>130</v>
      </c>
      <c r="C18" t="s">
        <v>132</v>
      </c>
      <c r="D18" s="39">
        <v>10000</v>
      </c>
      <c r="F18" s="39">
        <v>1058029</v>
      </c>
      <c r="G18"/>
      <c r="H18"/>
      <c r="I18" t="s">
        <v>125</v>
      </c>
    </row>
    <row r="19" spans="1:9" x14ac:dyDescent="0.4">
      <c r="A19" s="38">
        <v>43877</v>
      </c>
      <c r="B19" t="s">
        <v>128</v>
      </c>
      <c r="C19" t="s">
        <v>141</v>
      </c>
      <c r="D19" s="39">
        <v>10000</v>
      </c>
      <c r="F19" s="39">
        <v>1048029</v>
      </c>
      <c r="G19"/>
      <c r="H19"/>
      <c r="I19" t="s">
        <v>125</v>
      </c>
    </row>
    <row r="20" spans="1:9" x14ac:dyDescent="0.4">
      <c r="A20" s="38">
        <v>43877</v>
      </c>
      <c r="B20" t="s">
        <v>128</v>
      </c>
      <c r="C20" t="s">
        <v>142</v>
      </c>
      <c r="D20" s="39">
        <v>121000</v>
      </c>
      <c r="F20" s="39">
        <v>927029</v>
      </c>
      <c r="G20"/>
      <c r="H20"/>
      <c r="I20" t="s">
        <v>125</v>
      </c>
    </row>
    <row r="21" spans="1:9" x14ac:dyDescent="0.4">
      <c r="A21" s="38">
        <v>43878</v>
      </c>
      <c r="B21" t="s">
        <v>143</v>
      </c>
      <c r="C21"/>
      <c r="E21" s="39">
        <v>6</v>
      </c>
      <c r="F21" s="39">
        <v>927035</v>
      </c>
      <c r="G21"/>
      <c r="H21"/>
      <c r="I21" t="s">
        <v>140</v>
      </c>
    </row>
    <row r="22" spans="1:9" x14ac:dyDescent="0.4">
      <c r="A22" s="38">
        <v>43879</v>
      </c>
      <c r="B22" t="s">
        <v>130</v>
      </c>
      <c r="C22" t="s">
        <v>134</v>
      </c>
      <c r="D22" s="39">
        <v>1000</v>
      </c>
      <c r="F22" s="39">
        <v>926035</v>
      </c>
      <c r="G22"/>
      <c r="H22"/>
      <c r="I22" t="s">
        <v>125</v>
      </c>
    </row>
    <row r="23" spans="1:9" x14ac:dyDescent="0.4">
      <c r="A23" s="38">
        <v>43887</v>
      </c>
      <c r="B23" t="s">
        <v>130</v>
      </c>
      <c r="C23" t="s">
        <v>135</v>
      </c>
      <c r="D23" s="39">
        <v>30000</v>
      </c>
      <c r="F23" s="39">
        <v>896035</v>
      </c>
      <c r="G23"/>
      <c r="H23"/>
      <c r="I23" t="s">
        <v>125</v>
      </c>
    </row>
    <row r="24" spans="1:9" x14ac:dyDescent="0.4">
      <c r="A24" s="38">
        <v>43888</v>
      </c>
      <c r="B24" t="s">
        <v>136</v>
      </c>
      <c r="C24" t="s">
        <v>137</v>
      </c>
      <c r="D24" s="39">
        <v>64949</v>
      </c>
      <c r="F24" s="39">
        <v>831086</v>
      </c>
      <c r="G24"/>
      <c r="H24"/>
      <c r="I24" t="s">
        <v>125</v>
      </c>
    </row>
    <row r="25" spans="1:9" x14ac:dyDescent="0.4">
      <c r="A25" s="38">
        <v>43889</v>
      </c>
      <c r="B25" t="s">
        <v>138</v>
      </c>
      <c r="C25" t="s">
        <v>139</v>
      </c>
      <c r="E25" s="39">
        <v>680568</v>
      </c>
      <c r="F25" s="39">
        <v>1511654</v>
      </c>
      <c r="G25"/>
      <c r="H25"/>
      <c r="I25" t="s">
        <v>140</v>
      </c>
    </row>
    <row r="26" spans="1:9" x14ac:dyDescent="0.4">
      <c r="A26" s="38">
        <v>43891</v>
      </c>
      <c r="B26" t="s">
        <v>123</v>
      </c>
      <c r="C26" t="s">
        <v>124</v>
      </c>
      <c r="D26" s="39">
        <v>80000</v>
      </c>
      <c r="F26" s="39">
        <v>1431654</v>
      </c>
      <c r="G26"/>
      <c r="H26"/>
      <c r="I26" t="s">
        <v>125</v>
      </c>
    </row>
    <row r="27" spans="1:9" x14ac:dyDescent="0.4">
      <c r="A27" s="38">
        <v>43891</v>
      </c>
      <c r="B27" t="s">
        <v>126</v>
      </c>
      <c r="C27" t="s">
        <v>127</v>
      </c>
      <c r="D27" s="39">
        <v>330</v>
      </c>
      <c r="F27" s="39">
        <v>1431324</v>
      </c>
      <c r="G27"/>
      <c r="H27"/>
      <c r="I27" t="s">
        <v>125</v>
      </c>
    </row>
    <row r="28" spans="1:9" x14ac:dyDescent="0.4">
      <c r="A28" s="38">
        <v>43891</v>
      </c>
      <c r="B28" t="s">
        <v>128</v>
      </c>
      <c r="C28" t="s">
        <v>129</v>
      </c>
      <c r="D28" s="39">
        <v>201000</v>
      </c>
      <c r="F28" s="39">
        <v>1230324</v>
      </c>
      <c r="G28"/>
      <c r="H28"/>
      <c r="I28" t="s">
        <v>125</v>
      </c>
    </row>
    <row r="29" spans="1:9" x14ac:dyDescent="0.4">
      <c r="A29" s="38">
        <v>43894</v>
      </c>
      <c r="B29" t="s">
        <v>130</v>
      </c>
      <c r="C29" t="s">
        <v>133</v>
      </c>
      <c r="D29" s="39">
        <v>140295</v>
      </c>
      <c r="F29" s="39">
        <v>1090029</v>
      </c>
      <c r="G29"/>
      <c r="H29"/>
      <c r="I29" t="s">
        <v>125</v>
      </c>
    </row>
    <row r="30" spans="1:9" x14ac:dyDescent="0.4">
      <c r="A30" s="38">
        <v>43896</v>
      </c>
      <c r="B30" t="s">
        <v>130</v>
      </c>
      <c r="C30" t="s">
        <v>131</v>
      </c>
      <c r="D30" s="39">
        <v>10000</v>
      </c>
      <c r="F30" s="39">
        <v>1080029</v>
      </c>
      <c r="G30"/>
      <c r="H30"/>
      <c r="I30" t="s">
        <v>125</v>
      </c>
    </row>
    <row r="31" spans="1:9" x14ac:dyDescent="0.4">
      <c r="A31" s="38">
        <v>43896</v>
      </c>
      <c r="B31" t="s">
        <v>130</v>
      </c>
      <c r="C31" t="s">
        <v>132</v>
      </c>
      <c r="D31" s="39">
        <v>10000</v>
      </c>
      <c r="F31" s="39">
        <v>1070029</v>
      </c>
      <c r="G31"/>
      <c r="H31"/>
      <c r="I31" t="s">
        <v>125</v>
      </c>
    </row>
    <row r="32" spans="1:9" x14ac:dyDescent="0.4">
      <c r="A32" s="38">
        <v>43908</v>
      </c>
      <c r="B32" t="s">
        <v>130</v>
      </c>
      <c r="C32" t="s">
        <v>134</v>
      </c>
      <c r="D32" s="39">
        <v>1000</v>
      </c>
      <c r="F32" s="39">
        <v>1069029</v>
      </c>
      <c r="G32"/>
      <c r="H32"/>
      <c r="I32" t="s">
        <v>125</v>
      </c>
    </row>
    <row r="33" spans="1:9" x14ac:dyDescent="0.4">
      <c r="A33" s="38">
        <v>43916</v>
      </c>
      <c r="B33" t="s">
        <v>130</v>
      </c>
      <c r="C33" t="s">
        <v>135</v>
      </c>
      <c r="D33" s="39">
        <v>30000</v>
      </c>
      <c r="F33" s="39">
        <v>1039029</v>
      </c>
      <c r="G33"/>
      <c r="H33"/>
      <c r="I33" t="s">
        <v>125</v>
      </c>
    </row>
    <row r="34" spans="1:9" x14ac:dyDescent="0.4">
      <c r="A34" s="38">
        <v>43917</v>
      </c>
      <c r="B34" t="s">
        <v>136</v>
      </c>
      <c r="C34" t="s">
        <v>137</v>
      </c>
      <c r="D34" s="39">
        <v>119925</v>
      </c>
      <c r="F34" s="39">
        <v>919104</v>
      </c>
      <c r="G34"/>
      <c r="H34"/>
      <c r="I34" t="s">
        <v>125</v>
      </c>
    </row>
    <row r="35" spans="1:9" x14ac:dyDescent="0.4">
      <c r="A35" s="38">
        <v>43921</v>
      </c>
      <c r="B35" t="s">
        <v>138</v>
      </c>
      <c r="C35" t="s">
        <v>139</v>
      </c>
      <c r="E35" s="39">
        <v>648635</v>
      </c>
      <c r="F35" s="39">
        <v>1567739</v>
      </c>
      <c r="G35"/>
      <c r="H35"/>
      <c r="I35" t="s">
        <v>140</v>
      </c>
    </row>
    <row r="36" spans="1:9" x14ac:dyDescent="0.4">
      <c r="A36" s="38">
        <v>43922</v>
      </c>
      <c r="B36" t="s">
        <v>123</v>
      </c>
      <c r="C36" t="s">
        <v>124</v>
      </c>
      <c r="D36" s="39">
        <v>80000</v>
      </c>
      <c r="F36" s="39">
        <v>1487739</v>
      </c>
      <c r="G36"/>
      <c r="H36"/>
      <c r="I36" t="s">
        <v>125</v>
      </c>
    </row>
    <row r="37" spans="1:9" x14ac:dyDescent="0.4">
      <c r="A37" s="38">
        <v>43922</v>
      </c>
      <c r="B37" t="s">
        <v>126</v>
      </c>
      <c r="C37" t="s">
        <v>127</v>
      </c>
      <c r="D37" s="39">
        <v>330</v>
      </c>
      <c r="F37" s="39">
        <v>1487409</v>
      </c>
      <c r="G37"/>
      <c r="H37"/>
      <c r="I37" t="s">
        <v>125</v>
      </c>
    </row>
    <row r="38" spans="1:9" x14ac:dyDescent="0.4">
      <c r="A38" s="38">
        <v>43922</v>
      </c>
      <c r="B38" t="s">
        <v>128</v>
      </c>
      <c r="C38" t="s">
        <v>129</v>
      </c>
      <c r="D38" s="39">
        <v>260000</v>
      </c>
      <c r="F38" s="39">
        <v>1227409</v>
      </c>
      <c r="G38"/>
      <c r="H38"/>
      <c r="I38" t="s">
        <v>125</v>
      </c>
    </row>
    <row r="39" spans="1:9" x14ac:dyDescent="0.4">
      <c r="A39" s="38">
        <v>43926</v>
      </c>
      <c r="B39" t="s">
        <v>123</v>
      </c>
      <c r="C39" t="s">
        <v>124</v>
      </c>
      <c r="D39" s="39">
        <v>100000</v>
      </c>
      <c r="F39" s="39">
        <v>1127409</v>
      </c>
      <c r="G39"/>
      <c r="H39"/>
      <c r="I39" t="s">
        <v>125</v>
      </c>
    </row>
    <row r="40" spans="1:9" x14ac:dyDescent="0.4">
      <c r="A40" s="38">
        <v>43926</v>
      </c>
      <c r="B40" t="s">
        <v>126</v>
      </c>
      <c r="C40" t="s">
        <v>127</v>
      </c>
      <c r="D40" s="39">
        <v>330</v>
      </c>
      <c r="F40" s="39">
        <v>1127079</v>
      </c>
      <c r="G40"/>
      <c r="H40"/>
      <c r="I40" t="s">
        <v>125</v>
      </c>
    </row>
    <row r="41" spans="1:9" x14ac:dyDescent="0.4">
      <c r="A41" s="38">
        <v>43927</v>
      </c>
      <c r="B41" t="s">
        <v>130</v>
      </c>
      <c r="C41" t="s">
        <v>131</v>
      </c>
      <c r="D41" s="39">
        <v>10000</v>
      </c>
      <c r="F41" s="39">
        <v>1117079</v>
      </c>
      <c r="G41"/>
      <c r="H41"/>
      <c r="I41" t="s">
        <v>125</v>
      </c>
    </row>
    <row r="42" spans="1:9" x14ac:dyDescent="0.4">
      <c r="A42" s="38">
        <v>43927</v>
      </c>
      <c r="B42" t="s">
        <v>130</v>
      </c>
      <c r="C42" t="s">
        <v>132</v>
      </c>
      <c r="D42" s="39">
        <v>10000</v>
      </c>
      <c r="F42" s="39">
        <v>1107079</v>
      </c>
      <c r="G42"/>
      <c r="H42"/>
      <c r="I42" t="s">
        <v>125</v>
      </c>
    </row>
    <row r="43" spans="1:9" x14ac:dyDescent="0.4">
      <c r="A43" s="38">
        <v>43927</v>
      </c>
      <c r="B43" t="s">
        <v>130</v>
      </c>
      <c r="C43" t="s">
        <v>133</v>
      </c>
      <c r="D43" s="39">
        <v>98365</v>
      </c>
      <c r="F43" s="39">
        <v>1008714</v>
      </c>
      <c r="G43"/>
      <c r="H43"/>
      <c r="I43" t="s">
        <v>125</v>
      </c>
    </row>
    <row r="44" spans="1:9" x14ac:dyDescent="0.4">
      <c r="A44" s="38">
        <v>43941</v>
      </c>
      <c r="B44" t="s">
        <v>130</v>
      </c>
      <c r="C44" t="s">
        <v>134</v>
      </c>
      <c r="D44" s="39">
        <v>1000</v>
      </c>
      <c r="F44" s="39">
        <v>1007714</v>
      </c>
      <c r="G44"/>
      <c r="H44"/>
      <c r="I44" t="s">
        <v>125</v>
      </c>
    </row>
    <row r="45" spans="1:9" x14ac:dyDescent="0.4">
      <c r="A45" s="38">
        <v>43948</v>
      </c>
      <c r="B45" t="s">
        <v>130</v>
      </c>
      <c r="C45" t="s">
        <v>135</v>
      </c>
      <c r="D45" s="39">
        <v>30000</v>
      </c>
      <c r="F45" s="39">
        <v>977714</v>
      </c>
      <c r="G45"/>
      <c r="H45"/>
      <c r="I45" t="s">
        <v>125</v>
      </c>
    </row>
    <row r="46" spans="1:9" x14ac:dyDescent="0.4">
      <c r="A46" s="38">
        <v>43948</v>
      </c>
      <c r="B46" t="s">
        <v>136</v>
      </c>
      <c r="C46" t="s">
        <v>137</v>
      </c>
      <c r="D46" s="39">
        <v>65458</v>
      </c>
      <c r="F46" s="39">
        <v>912256</v>
      </c>
      <c r="G46"/>
      <c r="H46"/>
      <c r="I46" t="s">
        <v>125</v>
      </c>
    </row>
    <row r="47" spans="1:9" x14ac:dyDescent="0.4">
      <c r="A47" s="38">
        <v>43951</v>
      </c>
      <c r="B47" t="s">
        <v>138</v>
      </c>
      <c r="C47" t="s">
        <v>139</v>
      </c>
      <c r="E47" s="39">
        <v>752417</v>
      </c>
      <c r="F47" s="39">
        <v>1664673</v>
      </c>
      <c r="G47"/>
      <c r="H47"/>
      <c r="I47" t="s">
        <v>140</v>
      </c>
    </row>
    <row r="48" spans="1:9" x14ac:dyDescent="0.4">
      <c r="A48" s="38">
        <v>43953</v>
      </c>
      <c r="B48" t="s">
        <v>123</v>
      </c>
      <c r="C48" t="s">
        <v>124</v>
      </c>
      <c r="D48" s="39">
        <v>80000</v>
      </c>
      <c r="F48" s="39">
        <v>1584673</v>
      </c>
      <c r="G48"/>
      <c r="H48"/>
      <c r="I48" t="s">
        <v>125</v>
      </c>
    </row>
    <row r="49" spans="1:9" x14ac:dyDescent="0.4">
      <c r="A49" s="38">
        <v>43953</v>
      </c>
      <c r="B49" t="s">
        <v>126</v>
      </c>
      <c r="C49" t="s">
        <v>127</v>
      </c>
      <c r="D49" s="39">
        <v>330</v>
      </c>
      <c r="F49" s="39">
        <v>1584343</v>
      </c>
      <c r="G49"/>
      <c r="H49"/>
      <c r="I49" t="s">
        <v>125</v>
      </c>
    </row>
    <row r="50" spans="1:9" x14ac:dyDescent="0.4">
      <c r="A50" s="38">
        <v>43953</v>
      </c>
      <c r="B50" t="s">
        <v>128</v>
      </c>
      <c r="C50" t="s">
        <v>129</v>
      </c>
      <c r="D50" s="39">
        <v>200000</v>
      </c>
      <c r="F50" s="39">
        <v>1384343</v>
      </c>
      <c r="G50"/>
      <c r="H50"/>
      <c r="I50" t="s">
        <v>125</v>
      </c>
    </row>
    <row r="51" spans="1:9" x14ac:dyDescent="0.4">
      <c r="A51" s="38">
        <v>43958</v>
      </c>
      <c r="B51" t="s">
        <v>130</v>
      </c>
      <c r="C51" t="s">
        <v>131</v>
      </c>
      <c r="D51" s="39">
        <v>10000</v>
      </c>
      <c r="F51" s="39">
        <v>1374343</v>
      </c>
      <c r="G51"/>
      <c r="H51"/>
      <c r="I51" t="s">
        <v>125</v>
      </c>
    </row>
    <row r="52" spans="1:9" x14ac:dyDescent="0.4">
      <c r="A52" s="38">
        <v>43958</v>
      </c>
      <c r="B52" t="s">
        <v>130</v>
      </c>
      <c r="C52" t="s">
        <v>132</v>
      </c>
      <c r="D52" s="39">
        <v>10000</v>
      </c>
      <c r="F52" s="39">
        <v>1364343</v>
      </c>
      <c r="G52"/>
      <c r="H52"/>
      <c r="I52" t="s">
        <v>125</v>
      </c>
    </row>
    <row r="53" spans="1:9" x14ac:dyDescent="0.4">
      <c r="A53" s="38">
        <v>43958</v>
      </c>
      <c r="B53" t="s">
        <v>130</v>
      </c>
      <c r="C53" t="s">
        <v>133</v>
      </c>
      <c r="D53" s="39">
        <v>84118</v>
      </c>
      <c r="F53" s="39">
        <v>1280225</v>
      </c>
      <c r="G53"/>
      <c r="H53"/>
      <c r="I53" t="s">
        <v>125</v>
      </c>
    </row>
    <row r="54" spans="1:9" x14ac:dyDescent="0.4">
      <c r="A54" s="38">
        <v>43959</v>
      </c>
      <c r="B54" t="s">
        <v>144</v>
      </c>
      <c r="C54" t="s">
        <v>145</v>
      </c>
      <c r="E54" s="39">
        <v>783199</v>
      </c>
      <c r="F54" s="39">
        <v>2063424</v>
      </c>
      <c r="G54"/>
      <c r="H54"/>
      <c r="I54" t="s">
        <v>140</v>
      </c>
    </row>
    <row r="55" spans="1:9" x14ac:dyDescent="0.4">
      <c r="A55" s="38">
        <v>43966</v>
      </c>
      <c r="B55" t="s">
        <v>138</v>
      </c>
      <c r="C55" t="s">
        <v>146</v>
      </c>
      <c r="E55" s="39">
        <v>1577</v>
      </c>
      <c r="F55" s="39">
        <v>2065001</v>
      </c>
      <c r="G55"/>
      <c r="H55"/>
      <c r="I55" t="s">
        <v>140</v>
      </c>
    </row>
    <row r="56" spans="1:9" x14ac:dyDescent="0.4">
      <c r="A56" s="38">
        <v>43968</v>
      </c>
      <c r="B56" t="s">
        <v>128</v>
      </c>
      <c r="C56" t="s">
        <v>141</v>
      </c>
      <c r="D56" s="39">
        <v>20000</v>
      </c>
      <c r="F56" s="39">
        <v>2045001</v>
      </c>
      <c r="G56"/>
      <c r="H56"/>
      <c r="I56" t="s">
        <v>125</v>
      </c>
    </row>
    <row r="57" spans="1:9" x14ac:dyDescent="0.4">
      <c r="A57" s="38">
        <v>43969</v>
      </c>
      <c r="B57" t="s">
        <v>130</v>
      </c>
      <c r="C57" t="s">
        <v>134</v>
      </c>
      <c r="D57" s="39">
        <v>1000</v>
      </c>
      <c r="F57" s="39">
        <v>2044001</v>
      </c>
      <c r="G57"/>
      <c r="H57"/>
      <c r="I57" t="s">
        <v>125</v>
      </c>
    </row>
    <row r="58" spans="1:9" x14ac:dyDescent="0.4">
      <c r="A58" s="38">
        <v>43977</v>
      </c>
      <c r="B58" t="s">
        <v>130</v>
      </c>
      <c r="C58" t="s">
        <v>135</v>
      </c>
      <c r="D58" s="39">
        <v>30000</v>
      </c>
      <c r="F58" s="39">
        <v>2014001</v>
      </c>
      <c r="G58"/>
      <c r="H58"/>
      <c r="I58" t="s">
        <v>125</v>
      </c>
    </row>
    <row r="59" spans="1:9" x14ac:dyDescent="0.4">
      <c r="A59" s="38">
        <v>43978</v>
      </c>
      <c r="B59" t="s">
        <v>136</v>
      </c>
      <c r="C59" t="s">
        <v>137</v>
      </c>
      <c r="D59" s="39">
        <v>137199</v>
      </c>
      <c r="F59" s="39">
        <v>1876802</v>
      </c>
      <c r="G59"/>
      <c r="H59"/>
      <c r="I59" t="s">
        <v>125</v>
      </c>
    </row>
    <row r="60" spans="1:9" x14ac:dyDescent="0.4">
      <c r="A60" s="38">
        <v>43980</v>
      </c>
      <c r="B60" t="s">
        <v>138</v>
      </c>
      <c r="C60" t="s">
        <v>139</v>
      </c>
      <c r="E60" s="39">
        <v>764392</v>
      </c>
      <c r="F60" s="39">
        <v>2641194</v>
      </c>
      <c r="G60"/>
      <c r="H60"/>
      <c r="I60" t="s">
        <v>140</v>
      </c>
    </row>
    <row r="61" spans="1:9" x14ac:dyDescent="0.4">
      <c r="A61" s="38">
        <v>43983</v>
      </c>
      <c r="B61" t="s">
        <v>123</v>
      </c>
      <c r="C61" t="s">
        <v>124</v>
      </c>
      <c r="D61" s="39">
        <v>80000</v>
      </c>
      <c r="F61" s="39">
        <v>2561194</v>
      </c>
      <c r="G61"/>
      <c r="H61"/>
      <c r="I61" t="s">
        <v>125</v>
      </c>
    </row>
    <row r="62" spans="1:9" x14ac:dyDescent="0.4">
      <c r="A62" s="38">
        <v>43983</v>
      </c>
      <c r="B62" t="s">
        <v>126</v>
      </c>
      <c r="C62" t="s">
        <v>127</v>
      </c>
      <c r="D62" s="39">
        <v>330</v>
      </c>
      <c r="F62" s="39">
        <v>2560864</v>
      </c>
      <c r="G62"/>
      <c r="H62"/>
      <c r="I62" t="s">
        <v>125</v>
      </c>
    </row>
    <row r="63" spans="1:9" x14ac:dyDescent="0.4">
      <c r="A63" s="38">
        <v>43983</v>
      </c>
      <c r="B63" t="s">
        <v>128</v>
      </c>
      <c r="C63" t="s">
        <v>129</v>
      </c>
      <c r="D63" s="39">
        <v>210000</v>
      </c>
      <c r="F63" s="39">
        <v>2350864</v>
      </c>
      <c r="G63"/>
      <c r="H63"/>
      <c r="I63" t="s">
        <v>125</v>
      </c>
    </row>
    <row r="64" spans="1:9" x14ac:dyDescent="0.4">
      <c r="A64" s="38">
        <v>43986</v>
      </c>
      <c r="B64" t="s">
        <v>130</v>
      </c>
      <c r="C64" t="s">
        <v>133</v>
      </c>
      <c r="D64" s="39">
        <v>80058</v>
      </c>
      <c r="F64" s="39">
        <v>2270806</v>
      </c>
      <c r="G64"/>
      <c r="H64"/>
      <c r="I64" t="s">
        <v>125</v>
      </c>
    </row>
    <row r="65" spans="1:9" x14ac:dyDescent="0.4">
      <c r="A65" s="38">
        <v>43990</v>
      </c>
      <c r="B65" t="s">
        <v>130</v>
      </c>
      <c r="C65" t="s">
        <v>131</v>
      </c>
      <c r="D65" s="39">
        <v>10000</v>
      </c>
      <c r="F65" s="39">
        <v>2260806</v>
      </c>
      <c r="G65"/>
      <c r="H65"/>
      <c r="I65" t="s">
        <v>125</v>
      </c>
    </row>
    <row r="66" spans="1:9" x14ac:dyDescent="0.4">
      <c r="A66" s="38">
        <v>43990</v>
      </c>
      <c r="B66" t="s">
        <v>130</v>
      </c>
      <c r="C66" t="s">
        <v>132</v>
      </c>
      <c r="D66" s="39">
        <v>10000</v>
      </c>
      <c r="F66" s="39">
        <v>2250806</v>
      </c>
      <c r="G66"/>
      <c r="H66"/>
      <c r="I66" t="s">
        <v>125</v>
      </c>
    </row>
    <row r="67" spans="1:9" x14ac:dyDescent="0.4">
      <c r="A67" s="38">
        <v>44000</v>
      </c>
      <c r="B67" t="s">
        <v>130</v>
      </c>
      <c r="C67" t="s">
        <v>134</v>
      </c>
      <c r="D67" s="39">
        <v>1000</v>
      </c>
      <c r="F67" s="39">
        <v>2249806</v>
      </c>
      <c r="G67"/>
      <c r="H67"/>
      <c r="I67" t="s">
        <v>125</v>
      </c>
    </row>
    <row r="68" spans="1:9" x14ac:dyDescent="0.4">
      <c r="A68" s="38">
        <v>44008</v>
      </c>
      <c r="B68" t="s">
        <v>130</v>
      </c>
      <c r="C68" t="s">
        <v>135</v>
      </c>
      <c r="D68" s="39">
        <v>30000</v>
      </c>
      <c r="F68" s="39">
        <v>2219806</v>
      </c>
      <c r="G68"/>
      <c r="H68"/>
      <c r="I68" t="s">
        <v>125</v>
      </c>
    </row>
    <row r="69" spans="1:9" x14ac:dyDescent="0.4">
      <c r="A69" s="38">
        <v>44011</v>
      </c>
      <c r="B69" t="s">
        <v>136</v>
      </c>
      <c r="C69" t="s">
        <v>137</v>
      </c>
      <c r="D69" s="39">
        <v>171329</v>
      </c>
      <c r="F69" s="39">
        <v>2048477</v>
      </c>
      <c r="G69"/>
      <c r="H69"/>
      <c r="I69" t="s">
        <v>125</v>
      </c>
    </row>
    <row r="70" spans="1:9" x14ac:dyDescent="0.4">
      <c r="A70" s="38">
        <v>44012</v>
      </c>
      <c r="B70" t="s">
        <v>138</v>
      </c>
      <c r="C70" t="s">
        <v>139</v>
      </c>
      <c r="E70" s="39">
        <v>648635</v>
      </c>
      <c r="F70" s="39">
        <v>2697112</v>
      </c>
      <c r="G70"/>
      <c r="H70"/>
      <c r="I70" t="s">
        <v>140</v>
      </c>
    </row>
    <row r="71" spans="1:9" x14ac:dyDescent="0.4">
      <c r="A71" s="38">
        <v>44014</v>
      </c>
      <c r="B71" t="s">
        <v>123</v>
      </c>
      <c r="C71" t="s">
        <v>124</v>
      </c>
      <c r="D71" s="39">
        <v>80000</v>
      </c>
      <c r="F71" s="39">
        <v>2617112</v>
      </c>
      <c r="G71"/>
      <c r="H71"/>
      <c r="I71" t="s">
        <v>125</v>
      </c>
    </row>
    <row r="72" spans="1:9" x14ac:dyDescent="0.4">
      <c r="A72" s="38">
        <v>44014</v>
      </c>
      <c r="B72" t="s">
        <v>126</v>
      </c>
      <c r="C72" t="s">
        <v>127</v>
      </c>
      <c r="D72" s="39">
        <v>330</v>
      </c>
      <c r="F72" s="39">
        <v>2616782</v>
      </c>
      <c r="G72"/>
      <c r="H72"/>
      <c r="I72" t="s">
        <v>125</v>
      </c>
    </row>
    <row r="73" spans="1:9" x14ac:dyDescent="0.4">
      <c r="A73" s="38">
        <v>44014</v>
      </c>
      <c r="B73" t="s">
        <v>128</v>
      </c>
      <c r="C73" t="s">
        <v>129</v>
      </c>
      <c r="D73" s="39">
        <v>500000</v>
      </c>
      <c r="F73" s="39">
        <v>2116782</v>
      </c>
      <c r="G73"/>
      <c r="H73"/>
      <c r="I73" t="s">
        <v>125</v>
      </c>
    </row>
    <row r="74" spans="1:9" x14ac:dyDescent="0.4">
      <c r="A74" s="38">
        <v>44018</v>
      </c>
      <c r="B74" t="s">
        <v>130</v>
      </c>
      <c r="C74" t="s">
        <v>131</v>
      </c>
      <c r="D74" s="39">
        <v>10000</v>
      </c>
      <c r="F74" s="39">
        <v>2106782</v>
      </c>
      <c r="G74"/>
      <c r="H74"/>
      <c r="I74" t="s">
        <v>125</v>
      </c>
    </row>
    <row r="75" spans="1:9" x14ac:dyDescent="0.4">
      <c r="A75" s="38">
        <v>44018</v>
      </c>
      <c r="B75" t="s">
        <v>130</v>
      </c>
      <c r="C75" t="s">
        <v>132</v>
      </c>
      <c r="D75" s="39">
        <v>10000</v>
      </c>
      <c r="F75" s="39">
        <v>2096782</v>
      </c>
      <c r="G75"/>
      <c r="H75"/>
      <c r="I75" t="s">
        <v>125</v>
      </c>
    </row>
    <row r="76" spans="1:9" x14ac:dyDescent="0.4">
      <c r="A76" s="38">
        <v>44018</v>
      </c>
      <c r="B76" t="s">
        <v>130</v>
      </c>
      <c r="C76" t="s">
        <v>133</v>
      </c>
      <c r="D76" s="39">
        <v>98591</v>
      </c>
      <c r="F76" s="39">
        <v>1998191</v>
      </c>
      <c r="G76"/>
      <c r="H76"/>
      <c r="I76" t="s">
        <v>125</v>
      </c>
    </row>
    <row r="77" spans="1:9" x14ac:dyDescent="0.4">
      <c r="A77" s="38">
        <v>44032</v>
      </c>
      <c r="B77" t="s">
        <v>130</v>
      </c>
      <c r="C77" t="s">
        <v>134</v>
      </c>
      <c r="D77" s="39">
        <v>1000</v>
      </c>
      <c r="F77" s="39">
        <v>1997191</v>
      </c>
      <c r="G77"/>
      <c r="H77"/>
      <c r="I77" t="s">
        <v>125</v>
      </c>
    </row>
    <row r="78" spans="1:9" x14ac:dyDescent="0.4">
      <c r="A78" s="38">
        <v>44039</v>
      </c>
      <c r="B78" t="s">
        <v>130</v>
      </c>
      <c r="C78" t="s">
        <v>135</v>
      </c>
      <c r="D78" s="39">
        <v>30000</v>
      </c>
      <c r="F78" s="39">
        <v>1967191</v>
      </c>
      <c r="G78"/>
      <c r="H78"/>
      <c r="I78" t="s">
        <v>125</v>
      </c>
    </row>
    <row r="79" spans="1:9" x14ac:dyDescent="0.4">
      <c r="A79" s="38">
        <v>44039</v>
      </c>
      <c r="B79" t="s">
        <v>136</v>
      </c>
      <c r="C79" t="s">
        <v>137</v>
      </c>
      <c r="D79" s="39">
        <v>159502</v>
      </c>
      <c r="F79" s="39">
        <v>1807689</v>
      </c>
      <c r="G79"/>
      <c r="H79"/>
      <c r="I79" t="s">
        <v>125</v>
      </c>
    </row>
    <row r="80" spans="1:9" x14ac:dyDescent="0.4">
      <c r="A80" s="38">
        <v>44043</v>
      </c>
      <c r="B80" t="s">
        <v>138</v>
      </c>
      <c r="C80" t="s">
        <v>139</v>
      </c>
      <c r="E80" s="39">
        <v>800316</v>
      </c>
      <c r="F80" s="39">
        <v>2608005</v>
      </c>
      <c r="G80"/>
      <c r="H80"/>
      <c r="I80" t="s">
        <v>140</v>
      </c>
    </row>
    <row r="81" spans="1:9" x14ac:dyDescent="0.4">
      <c r="A81" s="38">
        <v>44044</v>
      </c>
      <c r="B81" t="s">
        <v>123</v>
      </c>
      <c r="C81" t="s">
        <v>124</v>
      </c>
      <c r="D81" s="39">
        <v>80000</v>
      </c>
      <c r="F81" s="39">
        <v>2528005</v>
      </c>
      <c r="G81"/>
      <c r="H81"/>
      <c r="I81" t="s">
        <v>125</v>
      </c>
    </row>
    <row r="82" spans="1:9" x14ac:dyDescent="0.4">
      <c r="A82" s="38">
        <v>44044</v>
      </c>
      <c r="B82" t="s">
        <v>126</v>
      </c>
      <c r="C82" t="s">
        <v>127</v>
      </c>
      <c r="D82" s="39">
        <v>330</v>
      </c>
      <c r="F82" s="39">
        <v>2527675</v>
      </c>
      <c r="G82"/>
      <c r="H82"/>
      <c r="I82" t="s">
        <v>125</v>
      </c>
    </row>
    <row r="83" spans="1:9" x14ac:dyDescent="0.4">
      <c r="A83" s="38">
        <v>44044</v>
      </c>
      <c r="B83" t="s">
        <v>128</v>
      </c>
      <c r="C83" t="s">
        <v>129</v>
      </c>
      <c r="D83" s="39">
        <v>210000</v>
      </c>
      <c r="F83" s="39">
        <v>2317675</v>
      </c>
      <c r="G83"/>
      <c r="H83"/>
      <c r="I83" t="s">
        <v>125</v>
      </c>
    </row>
    <row r="84" spans="1:9" x14ac:dyDescent="0.4">
      <c r="A84" s="38">
        <v>44047</v>
      </c>
      <c r="B84" t="s">
        <v>130</v>
      </c>
      <c r="C84" t="s">
        <v>133</v>
      </c>
      <c r="D84" s="39">
        <v>66385</v>
      </c>
      <c r="F84" s="39">
        <v>2251290</v>
      </c>
      <c r="G84"/>
      <c r="H84"/>
      <c r="I84" t="s">
        <v>125</v>
      </c>
    </row>
    <row r="85" spans="1:9" x14ac:dyDescent="0.4">
      <c r="A85" s="38">
        <v>44049</v>
      </c>
      <c r="B85" t="s">
        <v>130</v>
      </c>
      <c r="C85" t="s">
        <v>132</v>
      </c>
      <c r="D85" s="39">
        <v>10000</v>
      </c>
      <c r="F85" s="39">
        <v>2241290</v>
      </c>
      <c r="G85"/>
      <c r="H85"/>
      <c r="I85" t="s">
        <v>125</v>
      </c>
    </row>
    <row r="86" spans="1:9" x14ac:dyDescent="0.4">
      <c r="A86" s="38">
        <v>44049</v>
      </c>
      <c r="B86" t="s">
        <v>130</v>
      </c>
      <c r="C86" t="s">
        <v>131</v>
      </c>
      <c r="D86" s="39">
        <v>30000</v>
      </c>
      <c r="F86" s="39">
        <v>2211290</v>
      </c>
      <c r="G86"/>
      <c r="H86"/>
      <c r="I86" t="s">
        <v>125</v>
      </c>
    </row>
    <row r="87" spans="1:9" x14ac:dyDescent="0.4">
      <c r="A87" s="38">
        <v>44057</v>
      </c>
      <c r="B87" t="s">
        <v>138</v>
      </c>
      <c r="C87" t="s">
        <v>147</v>
      </c>
      <c r="E87" s="39">
        <v>1351</v>
      </c>
      <c r="F87" s="39">
        <v>2212641</v>
      </c>
      <c r="G87"/>
      <c r="H87"/>
      <c r="I87" t="s">
        <v>140</v>
      </c>
    </row>
    <row r="88" spans="1:9" x14ac:dyDescent="0.4">
      <c r="A88" s="38">
        <v>44060</v>
      </c>
      <c r="B88" t="s">
        <v>143</v>
      </c>
      <c r="C88"/>
      <c r="E88" s="39">
        <v>7</v>
      </c>
      <c r="F88" s="39">
        <v>2212648</v>
      </c>
      <c r="G88"/>
      <c r="H88"/>
      <c r="I88" t="s">
        <v>140</v>
      </c>
    </row>
    <row r="89" spans="1:9" x14ac:dyDescent="0.4">
      <c r="A89" s="38">
        <v>44061</v>
      </c>
      <c r="B89" t="s">
        <v>130</v>
      </c>
      <c r="C89" t="s">
        <v>134</v>
      </c>
      <c r="D89" s="39">
        <v>1000</v>
      </c>
      <c r="F89" s="39">
        <v>2211648</v>
      </c>
      <c r="G89"/>
      <c r="H89"/>
      <c r="I89" t="s">
        <v>125</v>
      </c>
    </row>
    <row r="90" spans="1:9" x14ac:dyDescent="0.4">
      <c r="A90" s="38">
        <v>44069</v>
      </c>
      <c r="B90" t="s">
        <v>130</v>
      </c>
      <c r="C90" t="s">
        <v>135</v>
      </c>
      <c r="D90" s="39">
        <v>30000</v>
      </c>
      <c r="F90" s="39">
        <v>2181648</v>
      </c>
      <c r="G90"/>
      <c r="H90"/>
      <c r="I90" t="s">
        <v>125</v>
      </c>
    </row>
    <row r="91" spans="1:9" x14ac:dyDescent="0.4">
      <c r="A91" s="38">
        <v>44070</v>
      </c>
      <c r="B91" t="s">
        <v>136</v>
      </c>
      <c r="C91" t="s">
        <v>137</v>
      </c>
      <c r="D91" s="39">
        <v>243766</v>
      </c>
      <c r="F91" s="39">
        <v>1937882</v>
      </c>
      <c r="G91"/>
      <c r="H91"/>
      <c r="I91" t="s">
        <v>125</v>
      </c>
    </row>
    <row r="92" spans="1:9" x14ac:dyDescent="0.4">
      <c r="A92" s="38">
        <v>44070</v>
      </c>
      <c r="B92" t="s">
        <v>148</v>
      </c>
      <c r="C92" t="s">
        <v>149</v>
      </c>
      <c r="D92" s="39">
        <v>100000</v>
      </c>
      <c r="F92" s="39">
        <v>1837882</v>
      </c>
      <c r="G92"/>
      <c r="H92"/>
      <c r="I92" t="s">
        <v>150</v>
      </c>
    </row>
    <row r="93" spans="1:9" x14ac:dyDescent="0.4">
      <c r="A93" s="38">
        <v>44070</v>
      </c>
      <c r="B93" t="s">
        <v>151</v>
      </c>
      <c r="C93"/>
      <c r="D93" s="39">
        <v>220</v>
      </c>
      <c r="F93" s="39">
        <v>1837662</v>
      </c>
      <c r="G93"/>
      <c r="H93"/>
      <c r="I93" t="s">
        <v>125</v>
      </c>
    </row>
    <row r="94" spans="1:9" x14ac:dyDescent="0.4">
      <c r="A94" s="38">
        <v>44074</v>
      </c>
      <c r="B94" t="s">
        <v>138</v>
      </c>
      <c r="C94" t="s">
        <v>139</v>
      </c>
      <c r="E94" s="39">
        <v>648635</v>
      </c>
      <c r="F94" s="39">
        <v>2486297</v>
      </c>
      <c r="G94"/>
      <c r="H94"/>
      <c r="I94" t="s">
        <v>140</v>
      </c>
    </row>
    <row r="95" spans="1:9" x14ac:dyDescent="0.4">
      <c r="A95" s="38">
        <v>44075</v>
      </c>
      <c r="B95" t="s">
        <v>123</v>
      </c>
      <c r="C95" t="s">
        <v>124</v>
      </c>
      <c r="D95" s="39">
        <v>110000</v>
      </c>
      <c r="F95" s="39">
        <v>2376297</v>
      </c>
      <c r="G95"/>
      <c r="H95"/>
      <c r="I95" t="s">
        <v>125</v>
      </c>
    </row>
    <row r="96" spans="1:9" x14ac:dyDescent="0.4">
      <c r="A96" s="38">
        <v>44075</v>
      </c>
      <c r="B96" t="s">
        <v>126</v>
      </c>
      <c r="C96" t="s">
        <v>127</v>
      </c>
      <c r="D96" s="39">
        <v>330</v>
      </c>
      <c r="F96" s="39">
        <v>2375967</v>
      </c>
      <c r="G96"/>
      <c r="H96"/>
      <c r="I96" t="s">
        <v>125</v>
      </c>
    </row>
    <row r="97" spans="1:9" x14ac:dyDescent="0.4">
      <c r="A97" s="38">
        <v>44075</v>
      </c>
      <c r="B97" t="s">
        <v>128</v>
      </c>
      <c r="C97" t="s">
        <v>129</v>
      </c>
      <c r="D97" s="39">
        <v>210000</v>
      </c>
      <c r="F97" s="39">
        <v>2165967</v>
      </c>
      <c r="G97"/>
      <c r="H97"/>
      <c r="I97" t="s">
        <v>125</v>
      </c>
    </row>
    <row r="98" spans="1:9" x14ac:dyDescent="0.4">
      <c r="A98" s="38">
        <v>44077</v>
      </c>
      <c r="B98" t="s">
        <v>128</v>
      </c>
      <c r="C98" t="s">
        <v>152</v>
      </c>
      <c r="D98" s="39">
        <v>400000</v>
      </c>
      <c r="F98" s="39">
        <v>1765967</v>
      </c>
      <c r="G98"/>
      <c r="H98"/>
      <c r="I98" t="s">
        <v>125</v>
      </c>
    </row>
    <row r="99" spans="1:9" x14ac:dyDescent="0.4">
      <c r="A99" s="38">
        <v>44078</v>
      </c>
      <c r="B99" t="s">
        <v>130</v>
      </c>
      <c r="C99" t="s">
        <v>133</v>
      </c>
      <c r="D99" s="39">
        <v>167503</v>
      </c>
      <c r="F99" s="39">
        <v>1598464</v>
      </c>
      <c r="G99"/>
      <c r="H99"/>
      <c r="I99" t="s">
        <v>125</v>
      </c>
    </row>
    <row r="100" spans="1:9" x14ac:dyDescent="0.4">
      <c r="A100" s="38">
        <v>44081</v>
      </c>
      <c r="B100" t="s">
        <v>130</v>
      </c>
      <c r="C100" t="s">
        <v>131</v>
      </c>
      <c r="D100" s="39">
        <v>30000</v>
      </c>
      <c r="F100" s="39">
        <v>1568464</v>
      </c>
      <c r="G100"/>
      <c r="H100"/>
      <c r="I100" t="s">
        <v>125</v>
      </c>
    </row>
    <row r="101" spans="1:9" x14ac:dyDescent="0.4">
      <c r="A101" s="38">
        <v>44081</v>
      </c>
      <c r="B101" t="s">
        <v>130</v>
      </c>
      <c r="C101" t="s">
        <v>132</v>
      </c>
      <c r="D101" s="39">
        <v>30000</v>
      </c>
      <c r="F101" s="39">
        <v>1538464</v>
      </c>
      <c r="G101"/>
      <c r="H101"/>
      <c r="I101" t="s">
        <v>125</v>
      </c>
    </row>
    <row r="102" spans="1:9" x14ac:dyDescent="0.4">
      <c r="A102" s="38">
        <v>44092</v>
      </c>
      <c r="B102" t="s">
        <v>130</v>
      </c>
      <c r="C102" t="s">
        <v>134</v>
      </c>
      <c r="D102" s="39">
        <v>1000</v>
      </c>
      <c r="F102" s="39">
        <v>1537464</v>
      </c>
      <c r="G102"/>
      <c r="H102"/>
      <c r="I102" t="s">
        <v>125</v>
      </c>
    </row>
    <row r="103" spans="1:9" x14ac:dyDescent="0.4">
      <c r="A103" s="38">
        <v>44102</v>
      </c>
      <c r="B103" t="s">
        <v>130</v>
      </c>
      <c r="C103" t="s">
        <v>135</v>
      </c>
      <c r="D103" s="39">
        <v>30000</v>
      </c>
      <c r="F103" s="39">
        <v>1507464</v>
      </c>
      <c r="G103"/>
      <c r="H103"/>
      <c r="I103" t="s">
        <v>125</v>
      </c>
    </row>
    <row r="104" spans="1:9" x14ac:dyDescent="0.4">
      <c r="A104" s="38">
        <v>44102</v>
      </c>
      <c r="B104" t="s">
        <v>136</v>
      </c>
      <c r="C104" t="s">
        <v>137</v>
      </c>
      <c r="D104" s="39">
        <v>83630</v>
      </c>
      <c r="F104" s="39">
        <v>1423834</v>
      </c>
      <c r="G104"/>
      <c r="H104"/>
      <c r="I104" t="s">
        <v>125</v>
      </c>
    </row>
    <row r="105" spans="1:9" x14ac:dyDescent="0.4">
      <c r="A105" s="38">
        <v>44104</v>
      </c>
      <c r="B105" t="s">
        <v>138</v>
      </c>
      <c r="C105" t="s">
        <v>139</v>
      </c>
      <c r="E105" s="39">
        <v>648635</v>
      </c>
      <c r="F105" s="39">
        <v>2072469</v>
      </c>
      <c r="G105"/>
      <c r="H105"/>
      <c r="I105" t="s">
        <v>140</v>
      </c>
    </row>
    <row r="106" spans="1:9" x14ac:dyDescent="0.4">
      <c r="A106" s="38">
        <v>44105</v>
      </c>
      <c r="B106" t="s">
        <v>123</v>
      </c>
      <c r="C106" t="s">
        <v>124</v>
      </c>
      <c r="D106" s="39">
        <v>110000</v>
      </c>
      <c r="F106" s="39">
        <v>1962469</v>
      </c>
      <c r="G106"/>
      <c r="H106"/>
      <c r="I106" t="s">
        <v>125</v>
      </c>
    </row>
    <row r="107" spans="1:9" x14ac:dyDescent="0.4">
      <c r="A107" s="38">
        <v>44105</v>
      </c>
      <c r="B107" t="s">
        <v>126</v>
      </c>
      <c r="C107" t="s">
        <v>127</v>
      </c>
      <c r="D107" s="39">
        <v>330</v>
      </c>
      <c r="F107" s="39">
        <v>1962139</v>
      </c>
      <c r="G107"/>
      <c r="H107"/>
      <c r="I107" t="s">
        <v>125</v>
      </c>
    </row>
    <row r="108" spans="1:9" x14ac:dyDescent="0.4">
      <c r="A108" s="38">
        <v>44105</v>
      </c>
      <c r="B108" t="s">
        <v>128</v>
      </c>
      <c r="C108" t="s">
        <v>129</v>
      </c>
      <c r="D108" s="39">
        <v>300000</v>
      </c>
      <c r="F108" s="39">
        <v>1662139</v>
      </c>
      <c r="G108"/>
      <c r="H108"/>
      <c r="I108" t="s">
        <v>125</v>
      </c>
    </row>
    <row r="109" spans="1:9" x14ac:dyDescent="0.4">
      <c r="A109" s="38">
        <v>44108</v>
      </c>
      <c r="B109" t="s">
        <v>128</v>
      </c>
      <c r="C109" t="s">
        <v>141</v>
      </c>
      <c r="D109" s="39">
        <v>500000</v>
      </c>
      <c r="F109" s="39">
        <v>1162139</v>
      </c>
      <c r="G109"/>
      <c r="H109"/>
      <c r="I109" t="s">
        <v>125</v>
      </c>
    </row>
    <row r="110" spans="1:9" x14ac:dyDescent="0.4">
      <c r="A110" s="38">
        <v>44109</v>
      </c>
      <c r="B110" t="s">
        <v>130</v>
      </c>
      <c r="C110" t="s">
        <v>133</v>
      </c>
      <c r="D110" s="39">
        <v>93100</v>
      </c>
      <c r="F110" s="39">
        <v>1069039</v>
      </c>
      <c r="G110"/>
      <c r="H110"/>
      <c r="I110" t="s">
        <v>125</v>
      </c>
    </row>
    <row r="111" spans="1:9" x14ac:dyDescent="0.4">
      <c r="A111" s="38">
        <v>44110</v>
      </c>
      <c r="B111" t="s">
        <v>130</v>
      </c>
      <c r="C111" t="s">
        <v>131</v>
      </c>
      <c r="D111" s="39">
        <v>30000</v>
      </c>
      <c r="F111" s="39">
        <v>1039039</v>
      </c>
      <c r="G111"/>
      <c r="H111"/>
      <c r="I111" t="s">
        <v>125</v>
      </c>
    </row>
    <row r="112" spans="1:9" x14ac:dyDescent="0.4">
      <c r="A112" s="38">
        <v>44110</v>
      </c>
      <c r="B112" t="s">
        <v>130</v>
      </c>
      <c r="C112" t="s">
        <v>132</v>
      </c>
      <c r="D112" s="39">
        <v>30000</v>
      </c>
      <c r="F112" s="39">
        <v>1009039</v>
      </c>
      <c r="G112"/>
      <c r="H112"/>
      <c r="I112" t="s">
        <v>125</v>
      </c>
    </row>
    <row r="113" spans="1:9" x14ac:dyDescent="0.4">
      <c r="A113" s="38">
        <v>44123</v>
      </c>
      <c r="B113" t="s">
        <v>130</v>
      </c>
      <c r="C113" t="s">
        <v>134</v>
      </c>
      <c r="D113" s="39">
        <v>1000</v>
      </c>
      <c r="F113" s="39">
        <v>1008039</v>
      </c>
      <c r="G113"/>
      <c r="H113"/>
      <c r="I113" t="s">
        <v>125</v>
      </c>
    </row>
    <row r="114" spans="1:9" x14ac:dyDescent="0.4">
      <c r="A114" s="38">
        <v>44130</v>
      </c>
      <c r="B114" t="s">
        <v>130</v>
      </c>
      <c r="C114" t="s">
        <v>135</v>
      </c>
      <c r="D114" s="39">
        <v>30000</v>
      </c>
      <c r="F114" s="39">
        <v>978039</v>
      </c>
      <c r="G114"/>
      <c r="H114"/>
      <c r="I114" t="s">
        <v>125</v>
      </c>
    </row>
    <row r="115" spans="1:9" x14ac:dyDescent="0.4">
      <c r="A115" s="38">
        <v>44131</v>
      </c>
      <c r="B115" t="s">
        <v>136</v>
      </c>
      <c r="C115" t="s">
        <v>137</v>
      </c>
      <c r="D115" s="39">
        <v>109098</v>
      </c>
      <c r="F115" s="39">
        <v>868941</v>
      </c>
      <c r="G115"/>
      <c r="H115"/>
      <c r="I115" t="s">
        <v>125</v>
      </c>
    </row>
    <row r="116" spans="1:9" x14ac:dyDescent="0.4">
      <c r="A116" s="38">
        <v>44134</v>
      </c>
      <c r="B116" t="s">
        <v>138</v>
      </c>
      <c r="C116" t="s">
        <v>139</v>
      </c>
      <c r="E116" s="39">
        <v>668593</v>
      </c>
      <c r="F116" s="39">
        <v>1537534</v>
      </c>
      <c r="G116"/>
      <c r="H116"/>
      <c r="I116" t="s">
        <v>140</v>
      </c>
    </row>
    <row r="117" spans="1:9" x14ac:dyDescent="0.4">
      <c r="A117" s="41"/>
      <c r="D117" s="42"/>
      <c r="F117" s="42"/>
    </row>
    <row r="118" spans="1:9" x14ac:dyDescent="0.4">
      <c r="A118" s="41"/>
      <c r="F118" s="42"/>
    </row>
    <row r="119" spans="1:9" x14ac:dyDescent="0.4">
      <c r="A119" s="41"/>
      <c r="D119" s="42"/>
      <c r="F119" s="42"/>
    </row>
    <row r="120" spans="1:9" x14ac:dyDescent="0.4">
      <c r="A120" s="41"/>
      <c r="D120" s="42"/>
      <c r="F120" s="42"/>
    </row>
    <row r="121" spans="1:9" x14ac:dyDescent="0.4">
      <c r="A121" s="41"/>
      <c r="D121" s="42"/>
      <c r="F121" s="42"/>
    </row>
    <row r="122" spans="1:9" x14ac:dyDescent="0.4">
      <c r="A122" s="41"/>
      <c r="D122" s="42"/>
      <c r="F122" s="42"/>
    </row>
    <row r="123" spans="1:9" x14ac:dyDescent="0.4">
      <c r="A123" s="41"/>
      <c r="D123" s="42"/>
      <c r="F123" s="42"/>
    </row>
    <row r="124" spans="1:9" x14ac:dyDescent="0.4">
      <c r="A124" s="41"/>
      <c r="D124" s="42"/>
      <c r="F124" s="42"/>
    </row>
    <row r="125" spans="1:9" x14ac:dyDescent="0.4">
      <c r="A125" s="41"/>
      <c r="D125" s="42"/>
      <c r="F125" s="42"/>
    </row>
    <row r="126" spans="1:9" x14ac:dyDescent="0.4">
      <c r="A126" s="41"/>
      <c r="E126" s="42"/>
      <c r="F126" s="42"/>
    </row>
    <row r="127" spans="1:9" x14ac:dyDescent="0.4">
      <c r="A127" s="41"/>
      <c r="D127" s="42"/>
      <c r="F127" s="42"/>
    </row>
    <row r="128" spans="1:9" x14ac:dyDescent="0.4">
      <c r="A128" s="41"/>
      <c r="F128" s="42"/>
    </row>
    <row r="129" spans="1:6" x14ac:dyDescent="0.4">
      <c r="A129" s="41"/>
      <c r="D129" s="42"/>
      <c r="F129" s="42"/>
    </row>
    <row r="130" spans="1:6" x14ac:dyDescent="0.4">
      <c r="A130" s="41"/>
      <c r="D130" s="42"/>
      <c r="F130" s="42"/>
    </row>
    <row r="131" spans="1:6" x14ac:dyDescent="0.4">
      <c r="A131" s="41"/>
      <c r="D131" s="42"/>
      <c r="F131" s="42"/>
    </row>
    <row r="132" spans="1:6" x14ac:dyDescent="0.4">
      <c r="A132" s="41"/>
      <c r="D132" s="42"/>
      <c r="F132" s="42"/>
    </row>
    <row r="133" spans="1:6" x14ac:dyDescent="0.4">
      <c r="A133" s="41"/>
      <c r="D133" s="42"/>
      <c r="F133" s="42"/>
    </row>
    <row r="134" spans="1:6" x14ac:dyDescent="0.4">
      <c r="A134" s="41"/>
      <c r="D134" s="42"/>
      <c r="F134" s="42"/>
    </row>
    <row r="135" spans="1:6" x14ac:dyDescent="0.4">
      <c r="A135" s="41"/>
      <c r="F135" s="42"/>
    </row>
    <row r="136" spans="1:6" x14ac:dyDescent="0.4">
      <c r="A136" s="41"/>
      <c r="D136" s="42"/>
      <c r="F136" s="42"/>
    </row>
    <row r="137" spans="1:6" x14ac:dyDescent="0.4">
      <c r="A137" s="41"/>
      <c r="D137" s="42"/>
      <c r="F137" s="42"/>
    </row>
    <row r="138" spans="1:6" x14ac:dyDescent="0.4">
      <c r="A138" s="41"/>
      <c r="D138" s="42"/>
      <c r="F138" s="42"/>
    </row>
    <row r="139" spans="1:6" x14ac:dyDescent="0.4">
      <c r="A139" s="41"/>
      <c r="E139" s="42"/>
      <c r="F139" s="42"/>
    </row>
    <row r="140" spans="1:6" x14ac:dyDescent="0.4">
      <c r="A140" s="41"/>
      <c r="D140" s="42"/>
      <c r="F140" s="42"/>
    </row>
    <row r="141" spans="1:6" x14ac:dyDescent="0.4">
      <c r="A141" s="41"/>
      <c r="F141" s="42"/>
    </row>
    <row r="142" spans="1:6" x14ac:dyDescent="0.4">
      <c r="A142" s="41"/>
      <c r="D142" s="42"/>
      <c r="F142" s="42"/>
    </row>
    <row r="143" spans="1:6" x14ac:dyDescent="0.4">
      <c r="A143" s="41"/>
      <c r="D143" s="42"/>
      <c r="F143" s="42"/>
    </row>
    <row r="144" spans="1:6" x14ac:dyDescent="0.4">
      <c r="A144" s="41"/>
      <c r="D144" s="42"/>
      <c r="F144" s="42"/>
    </row>
    <row r="145" spans="1:6" x14ac:dyDescent="0.4">
      <c r="A145" s="41"/>
      <c r="D145" s="42"/>
      <c r="F145" s="42"/>
    </row>
    <row r="146" spans="1:6" x14ac:dyDescent="0.4">
      <c r="A146" s="41"/>
      <c r="D146" s="42"/>
      <c r="F146" s="42"/>
    </row>
    <row r="147" spans="1:6" x14ac:dyDescent="0.4">
      <c r="A147" s="41"/>
      <c r="D147" s="42"/>
      <c r="F147" s="42"/>
    </row>
    <row r="148" spans="1:6" x14ac:dyDescent="0.4">
      <c r="A148" s="41"/>
      <c r="D148" s="42"/>
      <c r="F148" s="42"/>
    </row>
    <row r="149" spans="1:6" x14ac:dyDescent="0.4">
      <c r="A149" s="41"/>
      <c r="E149" s="42"/>
      <c r="F149" s="42"/>
    </row>
    <row r="150" spans="1:6" x14ac:dyDescent="0.4">
      <c r="A150" s="41"/>
      <c r="D150" s="42"/>
      <c r="F150" s="42"/>
    </row>
    <row r="151" spans="1:6" x14ac:dyDescent="0.4">
      <c r="A151" s="41"/>
      <c r="F151" s="42"/>
    </row>
    <row r="152" spans="1:6" x14ac:dyDescent="0.4">
      <c r="A152" s="41"/>
      <c r="D152" s="42"/>
      <c r="F152" s="42"/>
    </row>
    <row r="153" spans="1:6" x14ac:dyDescent="0.4">
      <c r="A153" s="41"/>
      <c r="D153" s="42"/>
      <c r="F153" s="42"/>
    </row>
    <row r="154" spans="1:6" x14ac:dyDescent="0.4">
      <c r="A154" s="41"/>
      <c r="F154" s="42"/>
    </row>
    <row r="155" spans="1:6" x14ac:dyDescent="0.4">
      <c r="A155" s="41"/>
      <c r="D155" s="42"/>
      <c r="F155" s="42"/>
    </row>
    <row r="156" spans="1:6" x14ac:dyDescent="0.4">
      <c r="A156" s="41"/>
      <c r="D156" s="42"/>
      <c r="F156" s="42"/>
    </row>
    <row r="157" spans="1:6" x14ac:dyDescent="0.4">
      <c r="A157" s="41"/>
      <c r="D157" s="42"/>
      <c r="F157" s="42"/>
    </row>
    <row r="158" spans="1:6" x14ac:dyDescent="0.4">
      <c r="A158" s="41"/>
      <c r="D158" s="42"/>
      <c r="F158" s="42"/>
    </row>
    <row r="159" spans="1:6" x14ac:dyDescent="0.4">
      <c r="A159" s="41"/>
      <c r="D159" s="42"/>
      <c r="F159" s="42"/>
    </row>
    <row r="160" spans="1:6" x14ac:dyDescent="0.4">
      <c r="A160" s="41"/>
      <c r="D160" s="42"/>
      <c r="F160" s="42"/>
    </row>
    <row r="161" spans="1:6" x14ac:dyDescent="0.4">
      <c r="A161" s="41"/>
      <c r="E161" s="42"/>
      <c r="F161" s="42"/>
    </row>
    <row r="162" spans="1:6" x14ac:dyDescent="0.4">
      <c r="A162" s="41"/>
      <c r="D162" s="42"/>
      <c r="F162" s="42"/>
    </row>
    <row r="163" spans="1:6" x14ac:dyDescent="0.4">
      <c r="A163" s="41"/>
      <c r="F163" s="42"/>
    </row>
    <row r="164" spans="1:6" x14ac:dyDescent="0.4">
      <c r="A164" s="41"/>
      <c r="D164" s="42"/>
      <c r="F164" s="42"/>
    </row>
    <row r="165" spans="1:6" x14ac:dyDescent="0.4">
      <c r="A165" s="41"/>
      <c r="D165" s="42"/>
      <c r="F165" s="42"/>
    </row>
    <row r="166" spans="1:6" x14ac:dyDescent="0.4">
      <c r="A166" s="41"/>
      <c r="D166" s="42"/>
      <c r="F166" s="42"/>
    </row>
    <row r="167" spans="1:6" x14ac:dyDescent="0.4">
      <c r="A167" s="41"/>
      <c r="D167" s="42"/>
      <c r="F167" s="42"/>
    </row>
    <row r="168" spans="1:6" x14ac:dyDescent="0.4">
      <c r="A168" s="41"/>
      <c r="E168" s="42"/>
      <c r="F168" s="42"/>
    </row>
    <row r="169" spans="1:6" x14ac:dyDescent="0.4">
      <c r="A169" s="41"/>
      <c r="E169" s="42"/>
      <c r="F169" s="42"/>
    </row>
    <row r="170" spans="1:6" x14ac:dyDescent="0.4">
      <c r="A170" s="41"/>
      <c r="D170" s="42"/>
      <c r="F170" s="42"/>
    </row>
    <row r="171" spans="1:6" x14ac:dyDescent="0.4">
      <c r="A171" s="41"/>
      <c r="D171" s="42"/>
      <c r="F171" s="42"/>
    </row>
    <row r="172" spans="1:6" x14ac:dyDescent="0.4">
      <c r="A172" s="41"/>
      <c r="D172" s="42"/>
      <c r="F172" s="42"/>
    </row>
    <row r="173" spans="1:6" x14ac:dyDescent="0.4">
      <c r="A173" s="41"/>
      <c r="D173" s="42"/>
      <c r="F173" s="42"/>
    </row>
    <row r="174" spans="1:6" x14ac:dyDescent="0.4">
      <c r="A174" s="41"/>
      <c r="E174" s="42"/>
      <c r="F174" s="42"/>
    </row>
    <row r="175" spans="1:6" x14ac:dyDescent="0.4">
      <c r="A175" s="41"/>
      <c r="D175" s="42"/>
      <c r="F175" s="42"/>
    </row>
    <row r="176" spans="1:6" x14ac:dyDescent="0.4">
      <c r="A176" s="41"/>
      <c r="F176" s="42"/>
    </row>
    <row r="177" spans="1:6" x14ac:dyDescent="0.4">
      <c r="A177" s="41"/>
      <c r="D177" s="42"/>
      <c r="F177" s="42"/>
    </row>
    <row r="178" spans="1:6" x14ac:dyDescent="0.4">
      <c r="A178" s="41"/>
      <c r="D178" s="42"/>
      <c r="F178" s="42"/>
    </row>
    <row r="179" spans="1:6" x14ac:dyDescent="0.4">
      <c r="A179" s="41"/>
      <c r="D179" s="42"/>
      <c r="F179" s="42"/>
    </row>
    <row r="180" spans="1:6" x14ac:dyDescent="0.4">
      <c r="A180" s="41"/>
      <c r="D180" s="42"/>
      <c r="F180" s="42"/>
    </row>
    <row r="181" spans="1:6" x14ac:dyDescent="0.4">
      <c r="A181" s="41"/>
      <c r="D181" s="42"/>
      <c r="F181" s="42"/>
    </row>
    <row r="182" spans="1:6" x14ac:dyDescent="0.4">
      <c r="A182" s="41"/>
      <c r="D182" s="42"/>
      <c r="F182" s="42"/>
    </row>
    <row r="183" spans="1:6" x14ac:dyDescent="0.4">
      <c r="A183" s="41"/>
      <c r="D183" s="42"/>
      <c r="F183" s="42"/>
    </row>
    <row r="184" spans="1:6" x14ac:dyDescent="0.4">
      <c r="A184" s="41"/>
      <c r="E184" s="42"/>
      <c r="F184" s="42"/>
    </row>
    <row r="185" spans="1:6" x14ac:dyDescent="0.4">
      <c r="A185" s="41"/>
      <c r="D185" s="42"/>
      <c r="F185" s="42"/>
    </row>
    <row r="186" spans="1:6" x14ac:dyDescent="0.4">
      <c r="A186" s="41"/>
      <c r="F186" s="42"/>
    </row>
    <row r="187" spans="1:6" x14ac:dyDescent="0.4">
      <c r="A187" s="41"/>
      <c r="D187" s="42"/>
      <c r="F187" s="42"/>
    </row>
    <row r="188" spans="1:6" x14ac:dyDescent="0.4">
      <c r="A188" s="41"/>
      <c r="D188" s="42"/>
      <c r="F188" s="42"/>
    </row>
    <row r="189" spans="1:6" x14ac:dyDescent="0.4">
      <c r="A189" s="41"/>
      <c r="D189" s="42"/>
      <c r="F189" s="42"/>
    </row>
    <row r="190" spans="1:6" x14ac:dyDescent="0.4">
      <c r="A190" s="41"/>
      <c r="D190" s="42"/>
      <c r="F190" s="42"/>
    </row>
    <row r="191" spans="1:6" x14ac:dyDescent="0.4">
      <c r="A191" s="41"/>
      <c r="D191" s="42"/>
      <c r="F191" s="42"/>
    </row>
    <row r="192" spans="1:6" x14ac:dyDescent="0.4">
      <c r="A192" s="41"/>
      <c r="D192" s="42"/>
      <c r="F192" s="42"/>
    </row>
    <row r="193" spans="1:6" x14ac:dyDescent="0.4">
      <c r="A193" s="41"/>
      <c r="D193" s="42"/>
      <c r="F193" s="42"/>
    </row>
    <row r="194" spans="1:6" x14ac:dyDescent="0.4">
      <c r="A194" s="41"/>
      <c r="E194" s="42"/>
      <c r="F194" s="42"/>
    </row>
    <row r="195" spans="1:6" x14ac:dyDescent="0.4">
      <c r="A195" s="41"/>
      <c r="D195" s="42"/>
      <c r="F195" s="42"/>
    </row>
    <row r="196" spans="1:6" x14ac:dyDescent="0.4">
      <c r="A196" s="41"/>
      <c r="F196" s="42"/>
    </row>
    <row r="197" spans="1:6" x14ac:dyDescent="0.4">
      <c r="A197" s="41"/>
      <c r="D197" s="42"/>
      <c r="F197" s="42"/>
    </row>
    <row r="198" spans="1:6" x14ac:dyDescent="0.4">
      <c r="A198" s="41"/>
      <c r="D198" s="42"/>
      <c r="F198" s="42"/>
    </row>
    <row r="199" spans="1:6" x14ac:dyDescent="0.4">
      <c r="A199" s="41"/>
      <c r="D199" s="42"/>
      <c r="F199" s="42"/>
    </row>
    <row r="200" spans="1:6" x14ac:dyDescent="0.4">
      <c r="A200" s="41"/>
      <c r="D200" s="42"/>
      <c r="F200" s="42"/>
    </row>
    <row r="201" spans="1:6" x14ac:dyDescent="0.4">
      <c r="A201" s="41"/>
      <c r="E201" s="42"/>
      <c r="F201" s="42"/>
    </row>
    <row r="202" spans="1:6" x14ac:dyDescent="0.4">
      <c r="A202" s="41"/>
      <c r="F202" s="42"/>
    </row>
    <row r="203" spans="1:6" x14ac:dyDescent="0.4">
      <c r="A203" s="41"/>
      <c r="D203" s="42"/>
      <c r="F203" s="42"/>
    </row>
    <row r="204" spans="1:6" x14ac:dyDescent="0.4">
      <c r="A204" s="41"/>
      <c r="D204" s="42"/>
      <c r="F204" s="42"/>
    </row>
    <row r="205" spans="1:6" x14ac:dyDescent="0.4">
      <c r="A205" s="41"/>
      <c r="D205" s="42"/>
      <c r="F205" s="42"/>
    </row>
    <row r="206" spans="1:6" x14ac:dyDescent="0.4">
      <c r="A206" s="41"/>
      <c r="D206" s="42"/>
      <c r="F206" s="42"/>
    </row>
    <row r="207" spans="1:6" x14ac:dyDescent="0.4">
      <c r="A207" s="41"/>
      <c r="F207" s="42"/>
    </row>
    <row r="208" spans="1:6" x14ac:dyDescent="0.4">
      <c r="A208" s="41"/>
      <c r="E208" s="42"/>
      <c r="F208" s="42"/>
    </row>
    <row r="209" spans="1:6" x14ac:dyDescent="0.4">
      <c r="A209" s="41"/>
      <c r="D209" s="42"/>
      <c r="F209" s="42"/>
    </row>
    <row r="210" spans="1:6" x14ac:dyDescent="0.4">
      <c r="A210" s="41"/>
      <c r="F210" s="42"/>
    </row>
    <row r="211" spans="1:6" x14ac:dyDescent="0.4">
      <c r="A211" s="41"/>
      <c r="D211" s="42"/>
      <c r="F211" s="42"/>
    </row>
    <row r="212" spans="1:6" x14ac:dyDescent="0.4">
      <c r="A212" s="41"/>
      <c r="D212" s="42"/>
      <c r="F212" s="42"/>
    </row>
    <row r="213" spans="1:6" x14ac:dyDescent="0.4">
      <c r="A213" s="41"/>
      <c r="D213" s="42"/>
      <c r="F213" s="42"/>
    </row>
    <row r="214" spans="1:6" x14ac:dyDescent="0.4">
      <c r="A214" s="41"/>
      <c r="D214" s="42"/>
      <c r="F214" s="42"/>
    </row>
    <row r="215" spans="1:6" x14ac:dyDescent="0.4">
      <c r="A215" s="41"/>
      <c r="D215" s="42"/>
      <c r="F215" s="42"/>
    </row>
    <row r="216" spans="1:6" x14ac:dyDescent="0.4">
      <c r="A216" s="41"/>
      <c r="D216" s="42"/>
      <c r="F216" s="42"/>
    </row>
    <row r="217" spans="1:6" x14ac:dyDescent="0.4">
      <c r="A217" s="41"/>
      <c r="D217" s="42"/>
      <c r="F217" s="42"/>
    </row>
    <row r="218" spans="1:6" x14ac:dyDescent="0.4">
      <c r="A218" s="41"/>
      <c r="D218" s="42"/>
      <c r="F218" s="42"/>
    </row>
    <row r="219" spans="1:6" x14ac:dyDescent="0.4">
      <c r="A219" s="41"/>
      <c r="E219" s="42"/>
      <c r="F219" s="42"/>
    </row>
    <row r="220" spans="1:6" x14ac:dyDescent="0.4">
      <c r="A220" s="41"/>
      <c r="D220" s="42"/>
      <c r="F220" s="42"/>
    </row>
    <row r="221" spans="1:6" x14ac:dyDescent="0.4">
      <c r="A221" s="41"/>
      <c r="F221" s="42"/>
    </row>
    <row r="222" spans="1:6" x14ac:dyDescent="0.4">
      <c r="A222" s="41"/>
      <c r="D222" s="42"/>
      <c r="F222" s="42"/>
    </row>
    <row r="223" spans="1:6" x14ac:dyDescent="0.4">
      <c r="A223" s="41"/>
      <c r="D223" s="42"/>
      <c r="F223" s="42"/>
    </row>
    <row r="224" spans="1:6" x14ac:dyDescent="0.4">
      <c r="A224" s="41"/>
      <c r="D224" s="42"/>
      <c r="F224" s="42"/>
    </row>
    <row r="225" spans="1:6" x14ac:dyDescent="0.4">
      <c r="A225" s="41"/>
      <c r="D225" s="42"/>
      <c r="F225" s="42"/>
    </row>
    <row r="226" spans="1:6" x14ac:dyDescent="0.4">
      <c r="A226" s="41"/>
      <c r="D226" s="42"/>
      <c r="F226" s="42"/>
    </row>
    <row r="227" spans="1:6" x14ac:dyDescent="0.4">
      <c r="A227" s="41"/>
      <c r="D227" s="42"/>
      <c r="F227" s="42"/>
    </row>
    <row r="228" spans="1:6" x14ac:dyDescent="0.4">
      <c r="A228" s="41"/>
      <c r="D228" s="42"/>
      <c r="F228" s="42"/>
    </row>
    <row r="229" spans="1:6" x14ac:dyDescent="0.4">
      <c r="A229" s="41"/>
      <c r="D229" s="42"/>
      <c r="F229" s="42"/>
    </row>
    <row r="230" spans="1:6" x14ac:dyDescent="0.4">
      <c r="A230" s="41"/>
      <c r="E230" s="42"/>
      <c r="F230" s="42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42"/>
  <sheetViews>
    <sheetView workbookViewId="0">
      <selection activeCell="D36" sqref="D36"/>
    </sheetView>
  </sheetViews>
  <sheetFormatPr defaultRowHeight="18.75" x14ac:dyDescent="0.4"/>
  <cols>
    <col min="1" max="1" width="12.625" style="31" customWidth="1"/>
    <col min="2" max="2" width="10.5" style="31" bestFit="1" customWidth="1"/>
    <col min="3" max="3" width="7.5" style="31" bestFit="1" customWidth="1"/>
    <col min="4" max="4" width="53.125" style="31" bestFit="1" customWidth="1"/>
    <col min="5" max="16384" width="9" style="31"/>
  </cols>
  <sheetData>
    <row r="1" spans="1:4" x14ac:dyDescent="0.4">
      <c r="A1" s="29" t="s">
        <v>28</v>
      </c>
    </row>
    <row r="2" spans="1:4" x14ac:dyDescent="0.4">
      <c r="A2" s="30" t="s">
        <v>29</v>
      </c>
      <c r="B2" s="30" t="s">
        <v>30</v>
      </c>
      <c r="C2" s="30" t="s">
        <v>31</v>
      </c>
      <c r="D2" s="30" t="s">
        <v>32</v>
      </c>
    </row>
    <row r="3" spans="1:4" x14ac:dyDescent="0.4">
      <c r="A3" s="38">
        <v>43878</v>
      </c>
      <c r="B3" s="31">
        <v>10000</v>
      </c>
      <c r="C3" s="31">
        <v>10000</v>
      </c>
      <c r="D3" s="31" t="s">
        <v>153</v>
      </c>
    </row>
    <row r="4" spans="1:4" x14ac:dyDescent="0.4">
      <c r="A4" s="38">
        <v>43921</v>
      </c>
      <c r="B4" s="31">
        <v>1</v>
      </c>
      <c r="C4" s="31">
        <v>10001</v>
      </c>
      <c r="D4" s="31" t="s">
        <v>154</v>
      </c>
    </row>
    <row r="5" spans="1:4" x14ac:dyDescent="0.4">
      <c r="A5" s="38">
        <v>43967</v>
      </c>
      <c r="B5" s="31">
        <v>45000</v>
      </c>
      <c r="C5" s="31">
        <v>55001</v>
      </c>
      <c r="D5" s="31" t="s">
        <v>155</v>
      </c>
    </row>
    <row r="6" spans="1:4" x14ac:dyDescent="0.4">
      <c r="A6" s="38">
        <v>43969</v>
      </c>
      <c r="B6" s="31">
        <v>20000</v>
      </c>
      <c r="C6" s="31">
        <v>75001</v>
      </c>
      <c r="D6" s="31" t="s">
        <v>153</v>
      </c>
    </row>
    <row r="7" spans="1:4" x14ac:dyDescent="0.4">
      <c r="A7" s="38">
        <v>44043</v>
      </c>
      <c r="B7" s="31">
        <v>9800</v>
      </c>
      <c r="C7" s="31">
        <v>84801</v>
      </c>
      <c r="D7" s="31" t="s">
        <v>156</v>
      </c>
    </row>
    <row r="8" spans="1:4" x14ac:dyDescent="0.4">
      <c r="A8" s="38">
        <v>44077</v>
      </c>
      <c r="B8" s="31">
        <v>-84801</v>
      </c>
      <c r="C8" s="31">
        <v>0</v>
      </c>
      <c r="D8" s="31" t="s">
        <v>157</v>
      </c>
    </row>
    <row r="9" spans="1:4" x14ac:dyDescent="0.4">
      <c r="A9" s="38">
        <v>44077</v>
      </c>
      <c r="B9" s="31">
        <v>11006</v>
      </c>
      <c r="C9" s="31">
        <v>11006</v>
      </c>
      <c r="D9" s="31" t="s">
        <v>153</v>
      </c>
    </row>
    <row r="10" spans="1:4" x14ac:dyDescent="0.4">
      <c r="A10" s="38">
        <v>44078</v>
      </c>
      <c r="B10" s="31">
        <v>5908</v>
      </c>
      <c r="C10" s="31">
        <v>16914</v>
      </c>
      <c r="D10" s="31" t="s">
        <v>153</v>
      </c>
    </row>
    <row r="11" spans="1:4" x14ac:dyDescent="0.4">
      <c r="A11" s="38">
        <v>44104</v>
      </c>
      <c r="B11" s="31">
        <v>21</v>
      </c>
      <c r="C11" s="31">
        <v>16935</v>
      </c>
      <c r="D11" s="31" t="s">
        <v>154</v>
      </c>
    </row>
    <row r="12" spans="1:4" x14ac:dyDescent="0.4">
      <c r="A12" s="38">
        <v>44109</v>
      </c>
      <c r="B12" s="31">
        <v>500000</v>
      </c>
      <c r="C12" s="31">
        <v>516935</v>
      </c>
      <c r="D12" s="31" t="s">
        <v>157</v>
      </c>
    </row>
    <row r="13" spans="1:4" x14ac:dyDescent="0.4">
      <c r="A13" s="38"/>
    </row>
    <row r="14" spans="1:4" x14ac:dyDescent="0.4">
      <c r="A14" s="38"/>
    </row>
    <row r="15" spans="1:4" x14ac:dyDescent="0.4">
      <c r="A15" s="38"/>
    </row>
    <row r="16" spans="1:4" x14ac:dyDescent="0.4">
      <c r="A16" s="38"/>
    </row>
    <row r="17" spans="1:1" x14ac:dyDescent="0.4">
      <c r="A17" s="38"/>
    </row>
    <row r="18" spans="1:1" x14ac:dyDescent="0.4">
      <c r="A18" s="38"/>
    </row>
    <row r="19" spans="1:1" x14ac:dyDescent="0.4">
      <c r="A19" s="38"/>
    </row>
    <row r="20" spans="1:1" x14ac:dyDescent="0.4">
      <c r="A20" s="38"/>
    </row>
    <row r="21" spans="1:1" x14ac:dyDescent="0.4">
      <c r="A21" s="38"/>
    </row>
    <row r="22" spans="1:1" x14ac:dyDescent="0.4">
      <c r="A22" s="38"/>
    </row>
    <row r="23" spans="1:1" x14ac:dyDescent="0.4">
      <c r="A23" s="38"/>
    </row>
    <row r="24" spans="1:1" x14ac:dyDescent="0.4">
      <c r="A24" s="38"/>
    </row>
    <row r="25" spans="1:1" x14ac:dyDescent="0.4">
      <c r="A25" s="38"/>
    </row>
    <row r="26" spans="1:1" x14ac:dyDescent="0.4">
      <c r="A26" s="38"/>
    </row>
    <row r="27" spans="1:1" x14ac:dyDescent="0.4">
      <c r="A27" s="38"/>
    </row>
    <row r="28" spans="1:1" x14ac:dyDescent="0.4">
      <c r="A28" s="38"/>
    </row>
    <row r="29" spans="1:1" x14ac:dyDescent="0.4">
      <c r="A29" s="38"/>
    </row>
    <row r="30" spans="1:1" x14ac:dyDescent="0.4">
      <c r="A30" s="38"/>
    </row>
    <row r="31" spans="1:1" x14ac:dyDescent="0.4">
      <c r="A31" s="38"/>
    </row>
    <row r="32" spans="1:1" x14ac:dyDescent="0.4">
      <c r="A32" s="38"/>
    </row>
    <row r="33" spans="1:1" x14ac:dyDescent="0.4">
      <c r="A33" s="38"/>
    </row>
    <row r="34" spans="1:1" x14ac:dyDescent="0.4">
      <c r="A34" s="38"/>
    </row>
    <row r="35" spans="1:1" x14ac:dyDescent="0.4">
      <c r="A35" s="38"/>
    </row>
    <row r="36" spans="1:1" x14ac:dyDescent="0.4">
      <c r="A36" s="38"/>
    </row>
    <row r="37" spans="1:1" x14ac:dyDescent="0.4">
      <c r="A37" s="38"/>
    </row>
    <row r="38" spans="1:1" x14ac:dyDescent="0.4">
      <c r="A38" s="38"/>
    </row>
    <row r="39" spans="1:1" x14ac:dyDescent="0.4">
      <c r="A39" s="38"/>
    </row>
    <row r="40" spans="1:1" x14ac:dyDescent="0.4">
      <c r="A40" s="38"/>
    </row>
    <row r="41" spans="1:1" x14ac:dyDescent="0.4">
      <c r="A41" s="38"/>
    </row>
    <row r="42" spans="1:1" x14ac:dyDescent="0.4">
      <c r="A42" s="38"/>
    </row>
  </sheetData>
  <phoneticPr fontId="1"/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116"/>
  <sheetViews>
    <sheetView workbookViewId="0">
      <selection activeCell="E35" sqref="E35"/>
    </sheetView>
  </sheetViews>
  <sheetFormatPr defaultRowHeight="18.75" x14ac:dyDescent="0.4"/>
  <cols>
    <col min="1" max="1" width="10.25" style="31" bestFit="1" customWidth="1"/>
    <col min="2" max="2" width="23.5" style="31" bestFit="1" customWidth="1"/>
    <col min="3" max="4" width="7" style="31" bestFit="1" customWidth="1"/>
    <col min="5" max="5" width="7" bestFit="1" customWidth="1"/>
    <col min="6" max="6" width="2.375" bestFit="1" customWidth="1"/>
    <col min="9" max="9" width="11" bestFit="1" customWidth="1"/>
  </cols>
  <sheetData>
    <row r="1" spans="1:6" s="31" customFormat="1" x14ac:dyDescent="0.4">
      <c r="A1" s="29" t="s">
        <v>33</v>
      </c>
    </row>
    <row r="2" spans="1:6" s="31" customFormat="1" x14ac:dyDescent="0.4">
      <c r="A2" s="30" t="s">
        <v>18</v>
      </c>
      <c r="B2" s="30" t="s">
        <v>34</v>
      </c>
      <c r="C2" s="30" t="s">
        <v>35</v>
      </c>
      <c r="D2" s="30" t="s">
        <v>36</v>
      </c>
      <c r="E2" s="30" t="s">
        <v>31</v>
      </c>
      <c r="F2" s="30" t="s">
        <v>24</v>
      </c>
    </row>
    <row r="3" spans="1:6" x14ac:dyDescent="0.4">
      <c r="A3" s="38">
        <v>43980</v>
      </c>
      <c r="B3" t="s">
        <v>161</v>
      </c>
      <c r="C3" s="39"/>
      <c r="D3" s="39">
        <v>10800</v>
      </c>
      <c r="E3" s="39">
        <v>10800</v>
      </c>
      <c r="F3" s="39" t="s">
        <v>159</v>
      </c>
    </row>
    <row r="4" spans="1:6" x14ac:dyDescent="0.4">
      <c r="A4" s="38">
        <v>44013</v>
      </c>
      <c r="B4" t="s">
        <v>160</v>
      </c>
      <c r="D4" s="39">
        <v>9700</v>
      </c>
      <c r="E4" s="39">
        <v>20500</v>
      </c>
      <c r="F4" s="39" t="s">
        <v>159</v>
      </c>
    </row>
    <row r="5" spans="1:6" x14ac:dyDescent="0.4">
      <c r="A5" s="38">
        <v>44057</v>
      </c>
      <c r="B5" t="s">
        <v>158</v>
      </c>
      <c r="C5" s="39">
        <v>20500</v>
      </c>
      <c r="D5" s="39"/>
      <c r="E5" s="39">
        <v>0</v>
      </c>
      <c r="F5" s="39" t="s">
        <v>159</v>
      </c>
    </row>
    <row r="6" spans="1:6" x14ac:dyDescent="0.4">
      <c r="A6" s="38"/>
      <c r="D6" s="39"/>
      <c r="E6" s="39"/>
      <c r="F6" s="39"/>
    </row>
    <row r="7" spans="1:6" x14ac:dyDescent="0.4">
      <c r="A7" s="38"/>
      <c r="C7" s="39"/>
      <c r="D7" s="39"/>
      <c r="E7" s="39"/>
      <c r="F7" s="39"/>
    </row>
    <row r="8" spans="1:6" x14ac:dyDescent="0.4">
      <c r="A8" s="38"/>
      <c r="C8" s="39"/>
      <c r="D8" s="39"/>
      <c r="E8" s="31"/>
      <c r="F8" s="39"/>
    </row>
    <row r="9" spans="1:6" x14ac:dyDescent="0.4">
      <c r="A9" s="38"/>
      <c r="C9" s="39"/>
      <c r="D9" s="39"/>
      <c r="F9" s="39"/>
    </row>
    <row r="10" spans="1:6" x14ac:dyDescent="0.4">
      <c r="A10" s="38"/>
      <c r="D10" s="39"/>
      <c r="E10" s="39"/>
      <c r="F10" s="39"/>
    </row>
    <row r="11" spans="1:6" x14ac:dyDescent="0.4">
      <c r="A11" s="38"/>
      <c r="D11" s="39"/>
      <c r="E11" s="39"/>
      <c r="F11" s="39"/>
    </row>
    <row r="12" spans="1:6" x14ac:dyDescent="0.4">
      <c r="A12" s="38"/>
      <c r="C12" s="39"/>
      <c r="E12" s="39"/>
      <c r="F12" s="39"/>
    </row>
    <row r="13" spans="1:6" x14ac:dyDescent="0.4">
      <c r="A13" s="38"/>
      <c r="D13" s="39"/>
      <c r="E13" s="39"/>
      <c r="F13" s="39"/>
    </row>
    <row r="14" spans="1:6" x14ac:dyDescent="0.4">
      <c r="A14" s="38"/>
      <c r="D14" s="39"/>
      <c r="E14" s="39"/>
      <c r="F14" s="39"/>
    </row>
    <row r="15" spans="1:6" x14ac:dyDescent="0.4">
      <c r="A15" s="38"/>
      <c r="D15" s="39"/>
      <c r="F15" s="39"/>
    </row>
    <row r="16" spans="1:6" x14ac:dyDescent="0.4">
      <c r="A16" s="38"/>
      <c r="D16" s="39"/>
      <c r="F16" s="39"/>
    </row>
    <row r="17" spans="1:6" x14ac:dyDescent="0.4">
      <c r="A17" s="38"/>
      <c r="D17" s="39"/>
      <c r="F17" s="39"/>
    </row>
    <row r="18" spans="1:6" x14ac:dyDescent="0.4">
      <c r="A18" s="38"/>
      <c r="D18" s="39"/>
      <c r="F18" s="39"/>
    </row>
    <row r="19" spans="1:6" x14ac:dyDescent="0.4">
      <c r="A19" s="38"/>
      <c r="D19" s="39"/>
      <c r="F19" s="39"/>
    </row>
    <row r="20" spans="1:6" x14ac:dyDescent="0.4">
      <c r="A20" s="38"/>
      <c r="D20" s="39"/>
      <c r="F20" s="39"/>
    </row>
    <row r="21" spans="1:6" x14ac:dyDescent="0.4">
      <c r="A21" s="38"/>
      <c r="F21" s="39"/>
    </row>
    <row r="22" spans="1:6" x14ac:dyDescent="0.4">
      <c r="A22" s="38"/>
      <c r="D22" s="39"/>
      <c r="F22" s="39"/>
    </row>
    <row r="23" spans="1:6" x14ac:dyDescent="0.4">
      <c r="A23" s="38"/>
      <c r="D23" s="39"/>
      <c r="F23" s="39"/>
    </row>
    <row r="24" spans="1:6" x14ac:dyDescent="0.4">
      <c r="A24" s="38"/>
      <c r="D24" s="39"/>
      <c r="F24" s="39"/>
    </row>
    <row r="25" spans="1:6" x14ac:dyDescent="0.4">
      <c r="A25" s="38"/>
      <c r="E25" s="39"/>
      <c r="F25" s="39"/>
    </row>
    <row r="26" spans="1:6" x14ac:dyDescent="0.4">
      <c r="A26" s="38"/>
      <c r="D26" s="39"/>
      <c r="F26" s="39"/>
    </row>
    <row r="27" spans="1:6" x14ac:dyDescent="0.4">
      <c r="A27" s="38"/>
      <c r="F27" s="39"/>
    </row>
    <row r="28" spans="1:6" x14ac:dyDescent="0.4">
      <c r="A28" s="38"/>
      <c r="D28" s="39"/>
      <c r="F28" s="39"/>
    </row>
    <row r="29" spans="1:6" x14ac:dyDescent="0.4">
      <c r="A29" s="38"/>
      <c r="D29" s="39"/>
      <c r="F29" s="39"/>
    </row>
    <row r="30" spans="1:6" x14ac:dyDescent="0.4">
      <c r="A30" s="38"/>
      <c r="D30" s="39"/>
      <c r="F30" s="39"/>
    </row>
    <row r="31" spans="1:6" x14ac:dyDescent="0.4">
      <c r="A31" s="38"/>
      <c r="D31" s="39"/>
      <c r="F31" s="39"/>
    </row>
    <row r="32" spans="1:6" x14ac:dyDescent="0.4">
      <c r="A32" s="38"/>
      <c r="D32" s="39"/>
      <c r="F32" s="39"/>
    </row>
    <row r="33" spans="1:6" x14ac:dyDescent="0.4">
      <c r="A33" s="38"/>
      <c r="D33" s="39"/>
      <c r="F33" s="39"/>
    </row>
    <row r="34" spans="1:6" x14ac:dyDescent="0.4">
      <c r="A34" s="38"/>
      <c r="D34" s="39"/>
      <c r="F34" s="39"/>
    </row>
    <row r="35" spans="1:6" x14ac:dyDescent="0.4">
      <c r="A35" s="38"/>
      <c r="E35" s="39"/>
      <c r="F35" s="39"/>
    </row>
    <row r="36" spans="1:6" x14ac:dyDescent="0.4">
      <c r="A36" s="38"/>
      <c r="D36" s="39"/>
      <c r="F36" s="39"/>
    </row>
    <row r="37" spans="1:6" x14ac:dyDescent="0.4">
      <c r="A37" s="38"/>
      <c r="F37" s="39"/>
    </row>
    <row r="38" spans="1:6" x14ac:dyDescent="0.4">
      <c r="A38" s="38"/>
      <c r="D38" s="39"/>
      <c r="F38" s="39"/>
    </row>
    <row r="39" spans="1:6" x14ac:dyDescent="0.4">
      <c r="A39" s="38"/>
      <c r="D39" s="39"/>
      <c r="F39" s="39"/>
    </row>
    <row r="40" spans="1:6" x14ac:dyDescent="0.4">
      <c r="A40" s="38"/>
      <c r="F40" s="39"/>
    </row>
    <row r="41" spans="1:6" x14ac:dyDescent="0.4">
      <c r="A41" s="38"/>
      <c r="D41" s="39"/>
      <c r="F41" s="39"/>
    </row>
    <row r="42" spans="1:6" x14ac:dyDescent="0.4">
      <c r="A42" s="38"/>
      <c r="D42" s="39"/>
      <c r="F42" s="39"/>
    </row>
    <row r="43" spans="1:6" x14ac:dyDescent="0.4">
      <c r="A43" s="38"/>
      <c r="D43" s="39"/>
      <c r="F43" s="39"/>
    </row>
    <row r="44" spans="1:6" x14ac:dyDescent="0.4">
      <c r="A44" s="38"/>
      <c r="D44" s="39"/>
      <c r="F44" s="39"/>
    </row>
    <row r="45" spans="1:6" x14ac:dyDescent="0.4">
      <c r="A45" s="38"/>
      <c r="D45" s="39"/>
      <c r="F45" s="39"/>
    </row>
    <row r="46" spans="1:6" x14ac:dyDescent="0.4">
      <c r="A46" s="38"/>
      <c r="D46" s="39"/>
      <c r="F46" s="39"/>
    </row>
    <row r="47" spans="1:6" x14ac:dyDescent="0.4">
      <c r="A47" s="38"/>
      <c r="E47" s="39"/>
      <c r="F47" s="39"/>
    </row>
    <row r="48" spans="1:6" x14ac:dyDescent="0.4">
      <c r="A48" s="38"/>
      <c r="D48" s="39"/>
      <c r="F48" s="39"/>
    </row>
    <row r="49" spans="1:6" x14ac:dyDescent="0.4">
      <c r="A49" s="38"/>
      <c r="F49" s="39"/>
    </row>
    <row r="50" spans="1:6" x14ac:dyDescent="0.4">
      <c r="A50" s="38"/>
      <c r="D50" s="39"/>
      <c r="F50" s="39"/>
    </row>
    <row r="51" spans="1:6" x14ac:dyDescent="0.4">
      <c r="A51" s="38"/>
      <c r="D51" s="39"/>
      <c r="F51" s="39"/>
    </row>
    <row r="52" spans="1:6" x14ac:dyDescent="0.4">
      <c r="A52" s="38"/>
      <c r="D52" s="39"/>
      <c r="F52" s="39"/>
    </row>
    <row r="53" spans="1:6" x14ac:dyDescent="0.4">
      <c r="A53" s="38"/>
      <c r="D53" s="39"/>
      <c r="F53" s="39"/>
    </row>
    <row r="54" spans="1:6" x14ac:dyDescent="0.4">
      <c r="A54" s="38"/>
      <c r="E54" s="39"/>
      <c r="F54" s="39"/>
    </row>
    <row r="55" spans="1:6" x14ac:dyDescent="0.4">
      <c r="A55" s="38"/>
      <c r="E55" s="39"/>
      <c r="F55" s="39"/>
    </row>
    <row r="56" spans="1:6" x14ac:dyDescent="0.4">
      <c r="A56" s="38"/>
      <c r="D56" s="39"/>
      <c r="F56" s="39"/>
    </row>
    <row r="57" spans="1:6" x14ac:dyDescent="0.4">
      <c r="A57" s="38"/>
      <c r="D57" s="39"/>
      <c r="F57" s="39"/>
    </row>
    <row r="58" spans="1:6" x14ac:dyDescent="0.4">
      <c r="A58" s="38"/>
      <c r="D58" s="39"/>
      <c r="F58" s="39"/>
    </row>
    <row r="59" spans="1:6" x14ac:dyDescent="0.4">
      <c r="A59" s="38"/>
      <c r="D59" s="39"/>
      <c r="F59" s="39"/>
    </row>
    <row r="60" spans="1:6" x14ac:dyDescent="0.4">
      <c r="A60" s="38"/>
      <c r="E60" s="39"/>
      <c r="F60" s="39"/>
    </row>
    <row r="61" spans="1:6" x14ac:dyDescent="0.4">
      <c r="A61" s="38"/>
      <c r="D61" s="39"/>
      <c r="F61" s="39"/>
    </row>
    <row r="62" spans="1:6" x14ac:dyDescent="0.4">
      <c r="A62" s="38"/>
      <c r="F62" s="39"/>
    </row>
    <row r="63" spans="1:6" x14ac:dyDescent="0.4">
      <c r="A63" s="38"/>
      <c r="D63" s="39"/>
      <c r="F63" s="39"/>
    </row>
    <row r="64" spans="1:6" x14ac:dyDescent="0.4">
      <c r="A64" s="38"/>
      <c r="D64" s="39"/>
      <c r="F64" s="39"/>
    </row>
    <row r="65" spans="1:6" x14ac:dyDescent="0.4">
      <c r="A65" s="38"/>
      <c r="D65" s="39"/>
      <c r="F65" s="39"/>
    </row>
    <row r="66" spans="1:6" x14ac:dyDescent="0.4">
      <c r="A66" s="38"/>
      <c r="D66" s="39"/>
      <c r="F66" s="39"/>
    </row>
    <row r="67" spans="1:6" x14ac:dyDescent="0.4">
      <c r="A67" s="38"/>
      <c r="D67" s="39"/>
      <c r="F67" s="39"/>
    </row>
    <row r="68" spans="1:6" x14ac:dyDescent="0.4">
      <c r="A68" s="38"/>
      <c r="D68" s="39"/>
      <c r="F68" s="39"/>
    </row>
    <row r="69" spans="1:6" x14ac:dyDescent="0.4">
      <c r="A69" s="38"/>
      <c r="D69" s="39"/>
      <c r="F69" s="39"/>
    </row>
    <row r="70" spans="1:6" x14ac:dyDescent="0.4">
      <c r="A70" s="38"/>
      <c r="E70" s="39"/>
      <c r="F70" s="39"/>
    </row>
    <row r="71" spans="1:6" x14ac:dyDescent="0.4">
      <c r="A71" s="38"/>
      <c r="D71" s="39"/>
      <c r="F71" s="39"/>
    </row>
    <row r="72" spans="1:6" x14ac:dyDescent="0.4">
      <c r="A72" s="38"/>
      <c r="F72" s="39"/>
    </row>
    <row r="73" spans="1:6" x14ac:dyDescent="0.4">
      <c r="A73" s="38"/>
      <c r="D73" s="39"/>
      <c r="F73" s="39"/>
    </row>
    <row r="74" spans="1:6" x14ac:dyDescent="0.4">
      <c r="A74" s="38"/>
      <c r="D74" s="39"/>
      <c r="F74" s="39"/>
    </row>
    <row r="75" spans="1:6" x14ac:dyDescent="0.4">
      <c r="A75" s="38"/>
      <c r="D75" s="39"/>
      <c r="F75" s="39"/>
    </row>
    <row r="76" spans="1:6" x14ac:dyDescent="0.4">
      <c r="A76" s="38"/>
      <c r="D76" s="39"/>
      <c r="F76" s="39"/>
    </row>
    <row r="77" spans="1:6" x14ac:dyDescent="0.4">
      <c r="A77" s="38"/>
      <c r="D77" s="39"/>
      <c r="F77" s="39"/>
    </row>
    <row r="78" spans="1:6" x14ac:dyDescent="0.4">
      <c r="A78" s="38"/>
      <c r="D78" s="39"/>
      <c r="F78" s="39"/>
    </row>
    <row r="79" spans="1:6" x14ac:dyDescent="0.4">
      <c r="A79" s="38"/>
      <c r="D79" s="39"/>
      <c r="F79" s="39"/>
    </row>
    <row r="80" spans="1:6" x14ac:dyDescent="0.4">
      <c r="A80" s="38"/>
      <c r="E80" s="39"/>
      <c r="F80" s="39"/>
    </row>
    <row r="81" spans="1:6" x14ac:dyDescent="0.4">
      <c r="A81" s="38"/>
      <c r="D81" s="39"/>
      <c r="F81" s="39"/>
    </row>
    <row r="82" spans="1:6" x14ac:dyDescent="0.4">
      <c r="A82" s="38"/>
      <c r="F82" s="39"/>
    </row>
    <row r="83" spans="1:6" x14ac:dyDescent="0.4">
      <c r="A83" s="38"/>
      <c r="D83" s="39"/>
      <c r="F83" s="39"/>
    </row>
    <row r="84" spans="1:6" x14ac:dyDescent="0.4">
      <c r="A84" s="38"/>
      <c r="D84" s="39"/>
      <c r="F84" s="39"/>
    </row>
    <row r="85" spans="1:6" x14ac:dyDescent="0.4">
      <c r="A85" s="38"/>
      <c r="D85" s="39"/>
      <c r="F85" s="39"/>
    </row>
    <row r="86" spans="1:6" x14ac:dyDescent="0.4">
      <c r="A86" s="38"/>
      <c r="D86" s="39"/>
      <c r="F86" s="39"/>
    </row>
    <row r="87" spans="1:6" x14ac:dyDescent="0.4">
      <c r="A87" s="38"/>
      <c r="E87" s="39"/>
      <c r="F87" s="39"/>
    </row>
    <row r="88" spans="1:6" x14ac:dyDescent="0.4">
      <c r="A88" s="38"/>
      <c r="F88" s="39"/>
    </row>
    <row r="89" spans="1:6" x14ac:dyDescent="0.4">
      <c r="A89" s="38"/>
      <c r="D89" s="39"/>
      <c r="F89" s="39"/>
    </row>
    <row r="90" spans="1:6" x14ac:dyDescent="0.4">
      <c r="A90" s="38"/>
      <c r="D90" s="39"/>
      <c r="F90" s="39"/>
    </row>
    <row r="91" spans="1:6" x14ac:dyDescent="0.4">
      <c r="A91" s="38"/>
      <c r="D91" s="39"/>
      <c r="F91" s="39"/>
    </row>
    <row r="92" spans="1:6" x14ac:dyDescent="0.4">
      <c r="A92" s="38"/>
      <c r="D92" s="39"/>
      <c r="F92" s="39"/>
    </row>
    <row r="93" spans="1:6" x14ac:dyDescent="0.4">
      <c r="A93" s="38"/>
      <c r="F93" s="39"/>
    </row>
    <row r="94" spans="1:6" x14ac:dyDescent="0.4">
      <c r="A94" s="38"/>
      <c r="E94" s="39"/>
      <c r="F94" s="39"/>
    </row>
    <row r="95" spans="1:6" x14ac:dyDescent="0.4">
      <c r="A95" s="38"/>
      <c r="D95" s="39"/>
      <c r="F95" s="39"/>
    </row>
    <row r="96" spans="1:6" x14ac:dyDescent="0.4">
      <c r="A96" s="38"/>
      <c r="F96" s="39"/>
    </row>
    <row r="97" spans="1:6" x14ac:dyDescent="0.4">
      <c r="A97" s="38"/>
      <c r="D97" s="39"/>
      <c r="F97" s="39"/>
    </row>
    <row r="98" spans="1:6" x14ac:dyDescent="0.4">
      <c r="A98" s="38"/>
      <c r="D98" s="39"/>
      <c r="F98" s="39"/>
    </row>
    <row r="99" spans="1:6" x14ac:dyDescent="0.4">
      <c r="A99" s="38"/>
      <c r="D99" s="39"/>
      <c r="F99" s="39"/>
    </row>
    <row r="100" spans="1:6" x14ac:dyDescent="0.4">
      <c r="A100" s="38"/>
      <c r="D100" s="39"/>
      <c r="F100" s="39"/>
    </row>
    <row r="101" spans="1:6" x14ac:dyDescent="0.4">
      <c r="A101" s="38"/>
      <c r="D101" s="39"/>
      <c r="F101" s="39"/>
    </row>
    <row r="102" spans="1:6" x14ac:dyDescent="0.4">
      <c r="A102" s="38"/>
      <c r="D102" s="39"/>
      <c r="F102" s="39"/>
    </row>
    <row r="103" spans="1:6" x14ac:dyDescent="0.4">
      <c r="A103" s="38"/>
      <c r="D103" s="39"/>
      <c r="F103" s="39"/>
    </row>
    <row r="104" spans="1:6" x14ac:dyDescent="0.4">
      <c r="A104" s="38"/>
      <c r="D104" s="39"/>
      <c r="F104" s="39"/>
    </row>
    <row r="105" spans="1:6" x14ac:dyDescent="0.4">
      <c r="A105" s="38"/>
      <c r="E105" s="39"/>
      <c r="F105" s="39"/>
    </row>
    <row r="106" spans="1:6" x14ac:dyDescent="0.4">
      <c r="A106" s="38"/>
      <c r="D106" s="39"/>
      <c r="F106" s="39"/>
    </row>
    <row r="107" spans="1:6" x14ac:dyDescent="0.4">
      <c r="A107" s="38"/>
      <c r="F107" s="39"/>
    </row>
    <row r="108" spans="1:6" x14ac:dyDescent="0.4">
      <c r="A108" s="38"/>
      <c r="D108" s="39"/>
      <c r="F108" s="39"/>
    </row>
    <row r="109" spans="1:6" x14ac:dyDescent="0.4">
      <c r="A109" s="38"/>
      <c r="D109" s="39"/>
      <c r="F109" s="39"/>
    </row>
    <row r="110" spans="1:6" x14ac:dyDescent="0.4">
      <c r="A110" s="38"/>
      <c r="D110" s="39"/>
      <c r="F110" s="39"/>
    </row>
    <row r="111" spans="1:6" x14ac:dyDescent="0.4">
      <c r="A111" s="38"/>
      <c r="D111" s="39"/>
      <c r="F111" s="39"/>
    </row>
    <row r="112" spans="1:6" x14ac:dyDescent="0.4">
      <c r="A112" s="38"/>
      <c r="D112" s="39"/>
      <c r="F112" s="39"/>
    </row>
    <row r="113" spans="1:6" x14ac:dyDescent="0.4">
      <c r="A113" s="38"/>
      <c r="D113" s="39"/>
      <c r="F113" s="39"/>
    </row>
    <row r="114" spans="1:6" x14ac:dyDescent="0.4">
      <c r="A114" s="38"/>
      <c r="D114" s="39"/>
      <c r="F114" s="39"/>
    </row>
    <row r="115" spans="1:6" x14ac:dyDescent="0.4">
      <c r="A115" s="38"/>
      <c r="D115" s="39"/>
      <c r="F115" s="39"/>
    </row>
    <row r="116" spans="1:6" x14ac:dyDescent="0.4">
      <c r="A116" s="38"/>
      <c r="E116" s="39"/>
      <c r="F116" s="39"/>
    </row>
  </sheetData>
  <sortState xmlns:xlrd2="http://schemas.microsoft.com/office/spreadsheetml/2017/richdata2" ref="A3:F5">
    <sortCondition ref="A1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16"/>
  <sheetViews>
    <sheetView workbookViewId="0">
      <selection activeCell="A18" sqref="A18"/>
    </sheetView>
  </sheetViews>
  <sheetFormatPr defaultRowHeight="18.75" x14ac:dyDescent="0.4"/>
  <cols>
    <col min="1" max="1" width="11.375" style="31" bestFit="1" customWidth="1"/>
    <col min="2" max="2" width="11" style="31" bestFit="1" customWidth="1"/>
    <col min="3" max="3" width="7.5" style="31" bestFit="1" customWidth="1"/>
    <col min="4" max="4" width="24.5" style="31" bestFit="1" customWidth="1"/>
    <col min="5" max="5" width="8.5" style="31" bestFit="1" customWidth="1"/>
    <col min="6" max="6" width="9.5" bestFit="1" customWidth="1"/>
    <col min="9" max="9" width="11" bestFit="1" customWidth="1"/>
  </cols>
  <sheetData>
    <row r="1" spans="1:6" s="31" customFormat="1" x14ac:dyDescent="0.4">
      <c r="A1" s="29" t="s">
        <v>37</v>
      </c>
    </row>
    <row r="2" spans="1:6" s="31" customFormat="1" x14ac:dyDescent="0.4">
      <c r="A2" s="27" t="s">
        <v>38</v>
      </c>
      <c r="B2" s="27" t="s">
        <v>39</v>
      </c>
      <c r="C2" s="28" t="s">
        <v>40</v>
      </c>
      <c r="D2" s="27" t="s">
        <v>41</v>
      </c>
      <c r="E2" s="28" t="s">
        <v>3</v>
      </c>
    </row>
    <row r="3" spans="1:6" s="31" customFormat="1" x14ac:dyDescent="0.4">
      <c r="A3" s="43">
        <v>43871</v>
      </c>
      <c r="C3" s="31">
        <v>80000</v>
      </c>
      <c r="D3" s="39" t="s">
        <v>76</v>
      </c>
      <c r="E3" s="31">
        <v>5329161</v>
      </c>
      <c r="F3" s="39"/>
    </row>
    <row r="4" spans="1:6" s="31" customFormat="1" x14ac:dyDescent="0.4">
      <c r="A4" s="43">
        <v>43878</v>
      </c>
      <c r="C4" s="31">
        <v>30</v>
      </c>
      <c r="D4" s="31" t="s">
        <v>74</v>
      </c>
      <c r="E4" s="31">
        <v>5329191</v>
      </c>
      <c r="F4" s="39"/>
    </row>
    <row r="5" spans="1:6" s="31" customFormat="1" x14ac:dyDescent="0.4">
      <c r="A5" s="43">
        <v>43992</v>
      </c>
      <c r="C5" s="31">
        <v>80000</v>
      </c>
      <c r="D5" s="39" t="s">
        <v>76</v>
      </c>
      <c r="E5" s="31">
        <v>5409191</v>
      </c>
      <c r="F5" s="39"/>
    </row>
    <row r="6" spans="1:6" s="31" customFormat="1" x14ac:dyDescent="0.4">
      <c r="A6" s="43">
        <v>43993</v>
      </c>
      <c r="C6" s="31">
        <v>400000</v>
      </c>
      <c r="D6" s="39" t="s">
        <v>162</v>
      </c>
      <c r="E6" s="31">
        <v>5809191</v>
      </c>
      <c r="F6" s="39"/>
    </row>
    <row r="7" spans="1:6" s="31" customFormat="1" x14ac:dyDescent="0.4">
      <c r="A7" s="43">
        <v>44012</v>
      </c>
      <c r="C7" s="31">
        <v>20000</v>
      </c>
      <c r="D7" s="39" t="s">
        <v>73</v>
      </c>
      <c r="E7" s="31">
        <v>5829191</v>
      </c>
      <c r="F7" s="39"/>
    </row>
    <row r="8" spans="1:6" s="31" customFormat="1" x14ac:dyDescent="0.4">
      <c r="A8" s="43">
        <v>44060</v>
      </c>
      <c r="C8" s="31">
        <v>22</v>
      </c>
      <c r="D8" s="39" t="s">
        <v>74</v>
      </c>
      <c r="E8" s="31">
        <v>5829213</v>
      </c>
      <c r="F8" s="39"/>
    </row>
    <row r="9" spans="1:6" s="31" customFormat="1" x14ac:dyDescent="0.4">
      <c r="A9" s="43">
        <v>44071</v>
      </c>
      <c r="C9" s="31">
        <v>10000</v>
      </c>
      <c r="D9" s="39" t="s">
        <v>75</v>
      </c>
      <c r="E9" s="31">
        <v>5839213</v>
      </c>
      <c r="F9" s="39"/>
    </row>
    <row r="10" spans="1:6" s="31" customFormat="1" x14ac:dyDescent="0.4">
      <c r="A10" s="43">
        <v>44113</v>
      </c>
      <c r="C10" s="31">
        <v>80000</v>
      </c>
      <c r="D10" s="39" t="s">
        <v>76</v>
      </c>
      <c r="E10" s="31">
        <v>5919213</v>
      </c>
      <c r="F10" s="39"/>
    </row>
    <row r="11" spans="1:6" x14ac:dyDescent="0.4">
      <c r="A11" s="43"/>
      <c r="D11" s="39"/>
      <c r="F11" s="39"/>
    </row>
    <row r="12" spans="1:6" x14ac:dyDescent="0.4">
      <c r="A12" s="43"/>
      <c r="E12" s="39"/>
      <c r="F12" s="39"/>
    </row>
    <row r="13" spans="1:6" x14ac:dyDescent="0.4">
      <c r="A13" s="43"/>
      <c r="D13" s="39"/>
      <c r="F13" s="39"/>
    </row>
    <row r="14" spans="1:6" x14ac:dyDescent="0.4">
      <c r="A14" s="43"/>
      <c r="F14" s="39"/>
    </row>
    <row r="15" spans="1:6" x14ac:dyDescent="0.4">
      <c r="A15" s="43"/>
      <c r="D15" s="39"/>
      <c r="F15" s="39"/>
    </row>
    <row r="16" spans="1:6" x14ac:dyDescent="0.4">
      <c r="A16" s="43"/>
      <c r="D16" s="39"/>
      <c r="F16" s="39"/>
    </row>
    <row r="17" spans="1:6" x14ac:dyDescent="0.4">
      <c r="A17" s="43"/>
      <c r="D17" s="39"/>
      <c r="F17" s="39"/>
    </row>
    <row r="18" spans="1:6" x14ac:dyDescent="0.4">
      <c r="A18" s="43"/>
      <c r="D18" s="39"/>
      <c r="F18" s="39"/>
    </row>
    <row r="19" spans="1:6" x14ac:dyDescent="0.4">
      <c r="A19" s="43"/>
      <c r="D19" s="39"/>
      <c r="F19" s="39"/>
    </row>
    <row r="20" spans="1:6" x14ac:dyDescent="0.4">
      <c r="A20" s="43"/>
      <c r="D20" s="39"/>
      <c r="F20" s="39"/>
    </row>
    <row r="21" spans="1:6" x14ac:dyDescent="0.4">
      <c r="A21" s="43"/>
      <c r="F21" s="39"/>
    </row>
    <row r="22" spans="1:6" x14ac:dyDescent="0.4">
      <c r="A22" s="43"/>
      <c r="D22" s="39"/>
      <c r="F22" s="39"/>
    </row>
    <row r="23" spans="1:6" x14ac:dyDescent="0.4">
      <c r="A23" s="43"/>
      <c r="D23" s="39"/>
      <c r="F23" s="39"/>
    </row>
    <row r="24" spans="1:6" x14ac:dyDescent="0.4">
      <c r="A24" s="43"/>
      <c r="D24" s="39"/>
      <c r="F24" s="39"/>
    </row>
    <row r="25" spans="1:6" x14ac:dyDescent="0.4">
      <c r="A25" s="43"/>
      <c r="E25" s="39"/>
      <c r="F25" s="39"/>
    </row>
    <row r="26" spans="1:6" x14ac:dyDescent="0.4">
      <c r="A26" s="43"/>
      <c r="D26" s="39"/>
      <c r="F26" s="39"/>
    </row>
    <row r="27" spans="1:6" x14ac:dyDescent="0.4">
      <c r="A27" s="43"/>
      <c r="F27" s="39"/>
    </row>
    <row r="28" spans="1:6" x14ac:dyDescent="0.4">
      <c r="A28" s="43"/>
      <c r="D28" s="39"/>
      <c r="F28" s="39"/>
    </row>
    <row r="29" spans="1:6" x14ac:dyDescent="0.4">
      <c r="A29" s="43"/>
      <c r="D29" s="39"/>
      <c r="F29" s="39"/>
    </row>
    <row r="30" spans="1:6" x14ac:dyDescent="0.4">
      <c r="A30" s="43"/>
      <c r="D30" s="39"/>
      <c r="F30" s="39"/>
    </row>
    <row r="31" spans="1:6" x14ac:dyDescent="0.4">
      <c r="A31" s="43"/>
      <c r="D31" s="39"/>
      <c r="F31" s="39"/>
    </row>
    <row r="32" spans="1:6" x14ac:dyDescent="0.4">
      <c r="A32" s="43"/>
      <c r="D32" s="39"/>
      <c r="F32" s="39"/>
    </row>
    <row r="33" spans="1:6" x14ac:dyDescent="0.4">
      <c r="A33" s="43"/>
      <c r="D33" s="39"/>
      <c r="F33" s="39"/>
    </row>
    <row r="34" spans="1:6" x14ac:dyDescent="0.4">
      <c r="A34" s="43"/>
      <c r="D34" s="39"/>
      <c r="F34" s="39"/>
    </row>
    <row r="35" spans="1:6" x14ac:dyDescent="0.4">
      <c r="A35" s="43"/>
      <c r="E35" s="39"/>
      <c r="F35" s="39"/>
    </row>
    <row r="36" spans="1:6" x14ac:dyDescent="0.4">
      <c r="A36" s="43"/>
      <c r="D36" s="39"/>
      <c r="F36" s="39"/>
    </row>
    <row r="37" spans="1:6" x14ac:dyDescent="0.4">
      <c r="A37" s="43"/>
      <c r="F37" s="39"/>
    </row>
    <row r="38" spans="1:6" x14ac:dyDescent="0.4">
      <c r="A38" s="43"/>
      <c r="D38" s="39"/>
      <c r="F38" s="39"/>
    </row>
    <row r="39" spans="1:6" x14ac:dyDescent="0.4">
      <c r="A39" s="43"/>
      <c r="D39" s="39"/>
      <c r="F39" s="39"/>
    </row>
    <row r="40" spans="1:6" x14ac:dyDescent="0.4">
      <c r="A40" s="43"/>
      <c r="F40" s="39"/>
    </row>
    <row r="41" spans="1:6" x14ac:dyDescent="0.4">
      <c r="A41" s="43"/>
      <c r="D41" s="39"/>
      <c r="F41" s="39"/>
    </row>
    <row r="42" spans="1:6" x14ac:dyDescent="0.4">
      <c r="A42" s="43"/>
      <c r="D42" s="39"/>
      <c r="F42" s="39"/>
    </row>
    <row r="43" spans="1:6" x14ac:dyDescent="0.4">
      <c r="A43" s="43"/>
      <c r="D43" s="39"/>
      <c r="F43" s="39"/>
    </row>
    <row r="44" spans="1:6" x14ac:dyDescent="0.4">
      <c r="A44" s="43"/>
      <c r="D44" s="39"/>
      <c r="F44" s="39"/>
    </row>
    <row r="45" spans="1:6" x14ac:dyDescent="0.4">
      <c r="A45" s="43"/>
      <c r="D45" s="39"/>
      <c r="F45" s="39"/>
    </row>
    <row r="46" spans="1:6" x14ac:dyDescent="0.4">
      <c r="A46" s="43"/>
      <c r="D46" s="39"/>
      <c r="F46" s="39"/>
    </row>
    <row r="47" spans="1:6" x14ac:dyDescent="0.4">
      <c r="A47" s="43"/>
      <c r="E47" s="39"/>
      <c r="F47" s="39"/>
    </row>
    <row r="48" spans="1:6" x14ac:dyDescent="0.4">
      <c r="A48" s="43"/>
      <c r="D48" s="39"/>
      <c r="F48" s="39"/>
    </row>
    <row r="49" spans="1:6" x14ac:dyDescent="0.4">
      <c r="A49" s="43"/>
      <c r="F49" s="39"/>
    </row>
    <row r="50" spans="1:6" x14ac:dyDescent="0.4">
      <c r="A50" s="43"/>
      <c r="D50" s="39"/>
      <c r="F50" s="39"/>
    </row>
    <row r="51" spans="1:6" x14ac:dyDescent="0.4">
      <c r="A51" s="43"/>
      <c r="D51" s="39"/>
      <c r="F51" s="39"/>
    </row>
    <row r="52" spans="1:6" x14ac:dyDescent="0.4">
      <c r="A52" s="43"/>
      <c r="D52" s="39"/>
      <c r="F52" s="39"/>
    </row>
    <row r="53" spans="1:6" x14ac:dyDescent="0.4">
      <c r="A53" s="43"/>
      <c r="D53" s="39"/>
      <c r="F53" s="39"/>
    </row>
    <row r="54" spans="1:6" x14ac:dyDescent="0.4">
      <c r="A54" s="43"/>
      <c r="E54" s="39"/>
      <c r="F54" s="39"/>
    </row>
    <row r="55" spans="1:6" x14ac:dyDescent="0.4">
      <c r="A55" s="43"/>
      <c r="E55" s="39"/>
      <c r="F55" s="39"/>
    </row>
    <row r="56" spans="1:6" x14ac:dyDescent="0.4">
      <c r="A56" s="43"/>
      <c r="D56" s="39"/>
      <c r="F56" s="39"/>
    </row>
    <row r="57" spans="1:6" x14ac:dyDescent="0.4">
      <c r="A57" s="43"/>
      <c r="D57" s="39"/>
      <c r="F57" s="39"/>
    </row>
    <row r="58" spans="1:6" x14ac:dyDescent="0.4">
      <c r="A58" s="43"/>
      <c r="D58" s="39"/>
      <c r="F58" s="39"/>
    </row>
    <row r="59" spans="1:6" x14ac:dyDescent="0.4">
      <c r="A59" s="43"/>
      <c r="D59" s="39"/>
      <c r="F59" s="39"/>
    </row>
    <row r="60" spans="1:6" x14ac:dyDescent="0.4">
      <c r="A60" s="43"/>
      <c r="E60" s="39"/>
      <c r="F60" s="39"/>
    </row>
    <row r="61" spans="1:6" x14ac:dyDescent="0.4">
      <c r="A61" s="43"/>
      <c r="D61" s="39"/>
      <c r="F61" s="39"/>
    </row>
    <row r="62" spans="1:6" x14ac:dyDescent="0.4">
      <c r="A62" s="43"/>
      <c r="F62" s="39"/>
    </row>
    <row r="63" spans="1:6" x14ac:dyDescent="0.4">
      <c r="A63" s="43"/>
      <c r="D63" s="39"/>
      <c r="F63" s="39"/>
    </row>
    <row r="64" spans="1:6" x14ac:dyDescent="0.4">
      <c r="A64" s="43"/>
      <c r="D64" s="39"/>
      <c r="F64" s="39"/>
    </row>
    <row r="65" spans="1:6" x14ac:dyDescent="0.4">
      <c r="A65" s="43"/>
      <c r="D65" s="39"/>
      <c r="F65" s="39"/>
    </row>
    <row r="66" spans="1:6" x14ac:dyDescent="0.4">
      <c r="A66" s="43"/>
      <c r="D66" s="39"/>
      <c r="F66" s="39"/>
    </row>
    <row r="67" spans="1:6" x14ac:dyDescent="0.4">
      <c r="A67" s="43"/>
      <c r="D67" s="39"/>
      <c r="F67" s="39"/>
    </row>
    <row r="68" spans="1:6" x14ac:dyDescent="0.4">
      <c r="A68" s="43"/>
      <c r="D68" s="39"/>
      <c r="F68" s="39"/>
    </row>
    <row r="69" spans="1:6" x14ac:dyDescent="0.4">
      <c r="A69" s="43"/>
      <c r="D69" s="39"/>
      <c r="F69" s="39"/>
    </row>
    <row r="70" spans="1:6" x14ac:dyDescent="0.4">
      <c r="A70" s="43"/>
      <c r="E70" s="39"/>
      <c r="F70" s="39"/>
    </row>
    <row r="71" spans="1:6" x14ac:dyDescent="0.4">
      <c r="A71" s="43"/>
      <c r="D71" s="39"/>
      <c r="F71" s="39"/>
    </row>
    <row r="72" spans="1:6" x14ac:dyDescent="0.4">
      <c r="A72" s="43"/>
      <c r="F72" s="39"/>
    </row>
    <row r="73" spans="1:6" x14ac:dyDescent="0.4">
      <c r="A73" s="43"/>
      <c r="D73" s="39"/>
      <c r="F73" s="39"/>
    </row>
    <row r="74" spans="1:6" x14ac:dyDescent="0.4">
      <c r="A74" s="43"/>
      <c r="D74" s="39"/>
      <c r="F74" s="39"/>
    </row>
    <row r="75" spans="1:6" x14ac:dyDescent="0.4">
      <c r="A75" s="43"/>
      <c r="D75" s="39"/>
      <c r="F75" s="39"/>
    </row>
    <row r="76" spans="1:6" x14ac:dyDescent="0.4">
      <c r="A76" s="43"/>
      <c r="D76" s="39"/>
      <c r="F76" s="39"/>
    </row>
    <row r="77" spans="1:6" x14ac:dyDescent="0.4">
      <c r="A77" s="43"/>
      <c r="D77" s="39"/>
      <c r="F77" s="39"/>
    </row>
    <row r="78" spans="1:6" x14ac:dyDescent="0.4">
      <c r="A78" s="43"/>
      <c r="D78" s="39"/>
      <c r="F78" s="39"/>
    </row>
    <row r="79" spans="1:6" x14ac:dyDescent="0.4">
      <c r="A79" s="43"/>
      <c r="D79" s="39"/>
      <c r="F79" s="39"/>
    </row>
    <row r="80" spans="1:6" x14ac:dyDescent="0.4">
      <c r="A80" s="43"/>
      <c r="E80" s="39"/>
      <c r="F80" s="39"/>
    </row>
    <row r="81" spans="1:6" x14ac:dyDescent="0.4">
      <c r="A81" s="43"/>
      <c r="D81" s="39"/>
      <c r="F81" s="39"/>
    </row>
    <row r="82" spans="1:6" x14ac:dyDescent="0.4">
      <c r="A82" s="43"/>
      <c r="F82" s="39"/>
    </row>
    <row r="83" spans="1:6" x14ac:dyDescent="0.4">
      <c r="A83" s="43"/>
      <c r="D83" s="39"/>
      <c r="F83" s="39"/>
    </row>
    <row r="84" spans="1:6" x14ac:dyDescent="0.4">
      <c r="A84" s="43"/>
      <c r="D84" s="39"/>
      <c r="F84" s="39"/>
    </row>
    <row r="85" spans="1:6" x14ac:dyDescent="0.4">
      <c r="A85" s="43"/>
      <c r="D85" s="39"/>
      <c r="F85" s="39"/>
    </row>
    <row r="86" spans="1:6" x14ac:dyDescent="0.4">
      <c r="A86" s="43"/>
      <c r="D86" s="39"/>
      <c r="F86" s="39"/>
    </row>
    <row r="87" spans="1:6" x14ac:dyDescent="0.4">
      <c r="A87" s="43"/>
      <c r="E87" s="39"/>
      <c r="F87" s="39"/>
    </row>
    <row r="88" spans="1:6" x14ac:dyDescent="0.4">
      <c r="A88" s="43"/>
      <c r="F88" s="39"/>
    </row>
    <row r="89" spans="1:6" x14ac:dyDescent="0.4">
      <c r="A89" s="43"/>
      <c r="D89" s="39"/>
      <c r="F89" s="39"/>
    </row>
    <row r="90" spans="1:6" x14ac:dyDescent="0.4">
      <c r="A90" s="43"/>
      <c r="D90" s="39"/>
      <c r="F90" s="39"/>
    </row>
    <row r="91" spans="1:6" x14ac:dyDescent="0.4">
      <c r="A91" s="43"/>
      <c r="D91" s="39"/>
      <c r="F91" s="39"/>
    </row>
    <row r="92" spans="1:6" x14ac:dyDescent="0.4">
      <c r="A92" s="43"/>
      <c r="D92" s="39"/>
      <c r="F92" s="39"/>
    </row>
    <row r="93" spans="1:6" x14ac:dyDescent="0.4">
      <c r="A93" s="43"/>
      <c r="F93" s="39"/>
    </row>
    <row r="94" spans="1:6" x14ac:dyDescent="0.4">
      <c r="A94" s="43"/>
      <c r="E94" s="39"/>
      <c r="F94" s="39"/>
    </row>
    <row r="95" spans="1:6" x14ac:dyDescent="0.4">
      <c r="A95" s="43"/>
      <c r="D95" s="39"/>
      <c r="F95" s="39"/>
    </row>
    <row r="96" spans="1:6" x14ac:dyDescent="0.4">
      <c r="A96" s="43"/>
      <c r="F96" s="39"/>
    </row>
    <row r="97" spans="1:6" x14ac:dyDescent="0.4">
      <c r="A97" s="43"/>
      <c r="D97" s="39"/>
      <c r="F97" s="39"/>
    </row>
    <row r="98" spans="1:6" x14ac:dyDescent="0.4">
      <c r="A98" s="43"/>
      <c r="D98" s="39"/>
      <c r="F98" s="39"/>
    </row>
    <row r="99" spans="1:6" x14ac:dyDescent="0.4">
      <c r="A99" s="43"/>
      <c r="D99" s="39"/>
      <c r="F99" s="39"/>
    </row>
    <row r="100" spans="1:6" x14ac:dyDescent="0.4">
      <c r="A100" s="43"/>
      <c r="D100" s="39"/>
      <c r="F100" s="39"/>
    </row>
    <row r="101" spans="1:6" x14ac:dyDescent="0.4">
      <c r="A101" s="43"/>
      <c r="D101" s="39"/>
      <c r="F101" s="39"/>
    </row>
    <row r="102" spans="1:6" x14ac:dyDescent="0.4">
      <c r="A102" s="43"/>
      <c r="D102" s="39"/>
      <c r="F102" s="39"/>
    </row>
    <row r="103" spans="1:6" x14ac:dyDescent="0.4">
      <c r="A103" s="43"/>
      <c r="D103" s="39"/>
      <c r="F103" s="39"/>
    </row>
    <row r="104" spans="1:6" x14ac:dyDescent="0.4">
      <c r="A104" s="43"/>
      <c r="D104" s="39"/>
      <c r="F104" s="39"/>
    </row>
    <row r="105" spans="1:6" x14ac:dyDescent="0.4">
      <c r="A105" s="43"/>
      <c r="E105" s="39"/>
      <c r="F105" s="39"/>
    </row>
    <row r="106" spans="1:6" x14ac:dyDescent="0.4">
      <c r="A106" s="43"/>
      <c r="D106" s="39"/>
      <c r="F106" s="39"/>
    </row>
    <row r="107" spans="1:6" x14ac:dyDescent="0.4">
      <c r="A107" s="43"/>
      <c r="F107" s="39"/>
    </row>
    <row r="108" spans="1:6" x14ac:dyDescent="0.4">
      <c r="A108" s="43"/>
      <c r="D108" s="39"/>
      <c r="F108" s="39"/>
    </row>
    <row r="109" spans="1:6" x14ac:dyDescent="0.4">
      <c r="A109" s="43"/>
      <c r="D109" s="39"/>
      <c r="F109" s="39"/>
    </row>
    <row r="110" spans="1:6" x14ac:dyDescent="0.4">
      <c r="A110" s="43"/>
      <c r="D110" s="39"/>
      <c r="F110" s="39"/>
    </row>
    <row r="111" spans="1:6" x14ac:dyDescent="0.4">
      <c r="A111" s="43"/>
      <c r="D111" s="39"/>
      <c r="F111" s="39"/>
    </row>
    <row r="112" spans="1:6" x14ac:dyDescent="0.4">
      <c r="A112" s="43"/>
      <c r="D112" s="39"/>
      <c r="F112" s="39"/>
    </row>
    <row r="113" spans="1:6" x14ac:dyDescent="0.4">
      <c r="A113" s="43"/>
      <c r="D113" s="39"/>
      <c r="F113" s="39"/>
    </row>
    <row r="114" spans="1:6" x14ac:dyDescent="0.4">
      <c r="A114" s="43"/>
      <c r="D114" s="39"/>
      <c r="F114" s="39"/>
    </row>
    <row r="115" spans="1:6" x14ac:dyDescent="0.4">
      <c r="A115" s="43"/>
      <c r="D115" s="39"/>
      <c r="F115" s="39"/>
    </row>
    <row r="116" spans="1:6" x14ac:dyDescent="0.4">
      <c r="A116" s="43"/>
      <c r="E116" s="39"/>
      <c r="F116" s="39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1142"/>
  <sheetViews>
    <sheetView topLeftCell="A11" workbookViewId="0">
      <selection activeCell="B44" sqref="B44"/>
    </sheetView>
  </sheetViews>
  <sheetFormatPr defaultRowHeight="18.75" x14ac:dyDescent="0.4"/>
  <cols>
    <col min="1" max="1" width="11.375" style="31" bestFit="1" customWidth="1"/>
    <col min="2" max="2" width="33.875" style="31" bestFit="1" customWidth="1"/>
    <col min="3" max="3" width="7.125" style="31" bestFit="1" customWidth="1"/>
    <col min="4" max="5" width="9" bestFit="1" customWidth="1"/>
    <col min="6" max="6" width="11" style="31" bestFit="1" customWidth="1"/>
    <col min="7" max="7" width="9" bestFit="1" customWidth="1"/>
    <col min="8" max="9" width="13" style="31" bestFit="1" customWidth="1"/>
    <col min="10" max="10" width="11" style="31" bestFit="1" customWidth="1"/>
  </cols>
  <sheetData>
    <row r="1" spans="1:10" s="31" customFormat="1" x14ac:dyDescent="0.4">
      <c r="A1" s="29" t="s">
        <v>42</v>
      </c>
    </row>
    <row r="2" spans="1:10" s="31" customFormat="1" x14ac:dyDescent="0.4">
      <c r="A2" s="30" t="s">
        <v>43</v>
      </c>
      <c r="B2" s="30" t="s">
        <v>120</v>
      </c>
      <c r="C2" s="30" t="s">
        <v>44</v>
      </c>
      <c r="D2" s="30" t="s">
        <v>45</v>
      </c>
      <c r="E2" s="30" t="s">
        <v>46</v>
      </c>
      <c r="F2" s="30" t="s">
        <v>47</v>
      </c>
      <c r="G2" s="30" t="s">
        <v>48</v>
      </c>
      <c r="H2" s="30" t="s">
        <v>49</v>
      </c>
      <c r="I2" s="30" t="s">
        <v>50</v>
      </c>
      <c r="J2" s="30" t="s">
        <v>51</v>
      </c>
    </row>
    <row r="3" spans="1:10" s="31" customFormat="1" x14ac:dyDescent="0.4">
      <c r="A3" s="38">
        <v>43830</v>
      </c>
      <c r="B3" s="31" t="s">
        <v>92</v>
      </c>
      <c r="C3" s="31" t="s">
        <v>93</v>
      </c>
      <c r="D3" s="31" t="s">
        <v>94</v>
      </c>
      <c r="E3" s="31">
        <v>470</v>
      </c>
      <c r="F3" s="31">
        <v>0</v>
      </c>
      <c r="G3" s="31">
        <v>470</v>
      </c>
      <c r="H3" s="31">
        <v>470</v>
      </c>
      <c r="I3" s="31">
        <v>0</v>
      </c>
      <c r="J3" s="31" t="s">
        <v>95</v>
      </c>
    </row>
    <row r="4" spans="1:10" s="31" customFormat="1" x14ac:dyDescent="0.4">
      <c r="A4" s="38">
        <v>43830</v>
      </c>
      <c r="B4" s="31" t="s">
        <v>92</v>
      </c>
      <c r="C4" s="31" t="s">
        <v>93</v>
      </c>
      <c r="D4" s="31" t="s">
        <v>94</v>
      </c>
      <c r="E4" s="31">
        <v>470</v>
      </c>
      <c r="F4" s="31">
        <v>0</v>
      </c>
      <c r="G4" s="31">
        <v>470</v>
      </c>
      <c r="H4" s="31">
        <v>470</v>
      </c>
      <c r="I4" s="31">
        <v>0</v>
      </c>
      <c r="J4" s="31" t="s">
        <v>95</v>
      </c>
    </row>
    <row r="5" spans="1:10" s="31" customFormat="1" x14ac:dyDescent="0.4">
      <c r="A5" s="38">
        <v>43830</v>
      </c>
      <c r="B5" s="31" t="s">
        <v>92</v>
      </c>
      <c r="C5" s="31" t="s">
        <v>93</v>
      </c>
      <c r="D5" s="31" t="s">
        <v>94</v>
      </c>
      <c r="E5" s="31">
        <v>470</v>
      </c>
      <c r="F5" s="31">
        <v>0</v>
      </c>
      <c r="G5" s="31">
        <v>470</v>
      </c>
      <c r="H5" s="31">
        <v>470</v>
      </c>
      <c r="I5" s="31">
        <v>0</v>
      </c>
      <c r="J5" s="31" t="s">
        <v>95</v>
      </c>
    </row>
    <row r="6" spans="1:10" s="31" customFormat="1" x14ac:dyDescent="0.4">
      <c r="A6" s="38">
        <v>43830</v>
      </c>
      <c r="B6" s="31" t="s">
        <v>92</v>
      </c>
      <c r="C6" s="31" t="s">
        <v>93</v>
      </c>
      <c r="D6" s="31" t="s">
        <v>94</v>
      </c>
      <c r="E6" s="31">
        <v>470</v>
      </c>
      <c r="F6" s="31">
        <v>0</v>
      </c>
      <c r="G6" s="31">
        <v>470</v>
      </c>
      <c r="H6" s="31">
        <v>470</v>
      </c>
      <c r="I6" s="31">
        <v>0</v>
      </c>
      <c r="J6" s="31" t="s">
        <v>95</v>
      </c>
    </row>
    <row r="7" spans="1:10" s="31" customFormat="1" x14ac:dyDescent="0.4">
      <c r="A7" s="38">
        <v>43830</v>
      </c>
      <c r="B7" s="31" t="s">
        <v>92</v>
      </c>
      <c r="C7" s="31" t="s">
        <v>93</v>
      </c>
      <c r="D7" s="31" t="s">
        <v>94</v>
      </c>
      <c r="E7" s="31">
        <v>470</v>
      </c>
      <c r="F7" s="31">
        <v>0</v>
      </c>
      <c r="G7" s="31">
        <v>470</v>
      </c>
      <c r="H7" s="31">
        <v>470</v>
      </c>
      <c r="I7" s="31">
        <v>0</v>
      </c>
      <c r="J7" s="31" t="s">
        <v>95</v>
      </c>
    </row>
    <row r="8" spans="1:10" s="31" customFormat="1" x14ac:dyDescent="0.4">
      <c r="A8" s="38">
        <v>43830</v>
      </c>
      <c r="B8" s="31" t="s">
        <v>92</v>
      </c>
      <c r="C8" s="31" t="s">
        <v>93</v>
      </c>
      <c r="D8" s="31" t="s">
        <v>94</v>
      </c>
      <c r="E8" s="31">
        <v>470</v>
      </c>
      <c r="F8" s="31">
        <v>0</v>
      </c>
      <c r="G8" s="31">
        <v>470</v>
      </c>
      <c r="H8" s="31">
        <v>470</v>
      </c>
      <c r="I8" s="31">
        <v>0</v>
      </c>
      <c r="J8" s="31" t="s">
        <v>95</v>
      </c>
    </row>
    <row r="9" spans="1:10" s="31" customFormat="1" x14ac:dyDescent="0.4">
      <c r="A9" s="38">
        <v>43830</v>
      </c>
      <c r="B9" s="31" t="s">
        <v>92</v>
      </c>
      <c r="C9" s="31" t="s">
        <v>93</v>
      </c>
      <c r="D9" s="31" t="s">
        <v>94</v>
      </c>
      <c r="E9" s="31">
        <v>470</v>
      </c>
      <c r="F9" s="31">
        <v>0</v>
      </c>
      <c r="G9" s="31">
        <v>470</v>
      </c>
      <c r="H9" s="31">
        <v>470</v>
      </c>
      <c r="I9" s="31">
        <v>0</v>
      </c>
      <c r="J9" s="31" t="s">
        <v>95</v>
      </c>
    </row>
    <row r="10" spans="1:10" s="31" customFormat="1" x14ac:dyDescent="0.4">
      <c r="A10" s="38">
        <v>43830</v>
      </c>
      <c r="B10" s="31" t="s">
        <v>92</v>
      </c>
      <c r="C10" s="31" t="s">
        <v>93</v>
      </c>
      <c r="D10" s="31" t="s">
        <v>94</v>
      </c>
      <c r="E10" s="31">
        <v>470</v>
      </c>
      <c r="F10" s="31">
        <v>0</v>
      </c>
      <c r="G10" s="31">
        <v>470</v>
      </c>
      <c r="H10" s="31">
        <v>470</v>
      </c>
      <c r="I10" s="31">
        <v>0</v>
      </c>
      <c r="J10" s="31" t="s">
        <v>95</v>
      </c>
    </row>
    <row r="11" spans="1:10" s="31" customFormat="1" x14ac:dyDescent="0.4">
      <c r="A11" s="38">
        <v>43830</v>
      </c>
      <c r="B11" s="31" t="s">
        <v>92</v>
      </c>
      <c r="C11" s="31" t="s">
        <v>93</v>
      </c>
      <c r="D11" s="31" t="s">
        <v>94</v>
      </c>
      <c r="E11" s="31">
        <v>470</v>
      </c>
      <c r="F11" s="31">
        <v>0</v>
      </c>
      <c r="G11" s="31">
        <v>470</v>
      </c>
      <c r="H11" s="31">
        <v>470</v>
      </c>
      <c r="I11" s="31">
        <v>0</v>
      </c>
      <c r="J11" s="31" t="s">
        <v>95</v>
      </c>
    </row>
    <row r="12" spans="1:10" s="31" customFormat="1" x14ac:dyDescent="0.4">
      <c r="A12" s="38">
        <v>43830</v>
      </c>
      <c r="B12" s="31" t="s">
        <v>92</v>
      </c>
      <c r="C12" s="31" t="s">
        <v>93</v>
      </c>
      <c r="D12" s="31" t="s">
        <v>94</v>
      </c>
      <c r="E12" s="31">
        <v>470</v>
      </c>
      <c r="F12" s="31">
        <v>0</v>
      </c>
      <c r="G12" s="31">
        <v>470</v>
      </c>
      <c r="H12" s="31">
        <v>470</v>
      </c>
      <c r="I12" s="31">
        <v>0</v>
      </c>
      <c r="J12" s="31" t="s">
        <v>95</v>
      </c>
    </row>
    <row r="13" spans="1:10" s="31" customFormat="1" x14ac:dyDescent="0.4">
      <c r="A13" s="38">
        <v>43830</v>
      </c>
      <c r="B13" s="31" t="s">
        <v>92</v>
      </c>
      <c r="C13" s="31" t="s">
        <v>93</v>
      </c>
      <c r="D13" s="31" t="s">
        <v>94</v>
      </c>
      <c r="E13" s="31">
        <v>470</v>
      </c>
      <c r="F13" s="31">
        <v>0</v>
      </c>
      <c r="G13" s="31">
        <v>470</v>
      </c>
      <c r="H13" s="31">
        <v>470</v>
      </c>
      <c r="I13" s="31">
        <v>0</v>
      </c>
      <c r="J13" s="31" t="s">
        <v>95</v>
      </c>
    </row>
    <row r="14" spans="1:10" s="31" customFormat="1" x14ac:dyDescent="0.4">
      <c r="A14" s="38">
        <v>43830</v>
      </c>
      <c r="B14" s="31" t="s">
        <v>92</v>
      </c>
      <c r="C14" s="31" t="s">
        <v>93</v>
      </c>
      <c r="D14" s="31" t="s">
        <v>94</v>
      </c>
      <c r="E14" s="31">
        <v>470</v>
      </c>
      <c r="F14" s="31">
        <v>0</v>
      </c>
      <c r="G14" s="31">
        <v>470</v>
      </c>
      <c r="H14" s="31">
        <v>470</v>
      </c>
      <c r="I14" s="31">
        <v>0</v>
      </c>
      <c r="J14" s="31" t="s">
        <v>95</v>
      </c>
    </row>
    <row r="15" spans="1:10" s="31" customFormat="1" x14ac:dyDescent="0.4">
      <c r="A15" s="38">
        <v>43830</v>
      </c>
      <c r="B15" s="31" t="s">
        <v>92</v>
      </c>
      <c r="C15" s="31" t="s">
        <v>93</v>
      </c>
      <c r="D15" s="31" t="s">
        <v>94</v>
      </c>
      <c r="E15" s="31">
        <v>470</v>
      </c>
      <c r="F15" s="31">
        <v>0</v>
      </c>
      <c r="G15" s="31">
        <v>470</v>
      </c>
      <c r="H15" s="31">
        <v>470</v>
      </c>
      <c r="I15" s="31">
        <v>0</v>
      </c>
      <c r="J15" s="31" t="s">
        <v>95</v>
      </c>
    </row>
    <row r="16" spans="1:10" s="31" customFormat="1" x14ac:dyDescent="0.4">
      <c r="A16" s="38">
        <v>43830</v>
      </c>
      <c r="B16" s="31" t="s">
        <v>92</v>
      </c>
      <c r="C16" s="31" t="s">
        <v>93</v>
      </c>
      <c r="D16" s="31" t="s">
        <v>94</v>
      </c>
      <c r="E16" s="31">
        <v>470</v>
      </c>
      <c r="F16" s="31">
        <v>0</v>
      </c>
      <c r="G16" s="31">
        <v>470</v>
      </c>
      <c r="H16" s="31">
        <v>470</v>
      </c>
      <c r="I16" s="31">
        <v>0</v>
      </c>
      <c r="J16" s="31" t="s">
        <v>95</v>
      </c>
    </row>
    <row r="17" spans="1:10" s="31" customFormat="1" x14ac:dyDescent="0.4">
      <c r="A17" s="38">
        <v>43830</v>
      </c>
      <c r="B17" s="31" t="s">
        <v>92</v>
      </c>
      <c r="C17" s="31" t="s">
        <v>93</v>
      </c>
      <c r="D17" s="31" t="s">
        <v>94</v>
      </c>
      <c r="E17" s="31">
        <v>470</v>
      </c>
      <c r="F17" s="31">
        <v>0</v>
      </c>
      <c r="G17" s="31">
        <v>470</v>
      </c>
      <c r="H17" s="31">
        <v>470</v>
      </c>
      <c r="I17" s="31">
        <v>0</v>
      </c>
      <c r="J17" s="31" t="s">
        <v>95</v>
      </c>
    </row>
    <row r="18" spans="1:10" s="31" customFormat="1" x14ac:dyDescent="0.4">
      <c r="A18" s="38">
        <v>43830</v>
      </c>
      <c r="B18" s="31" t="s">
        <v>92</v>
      </c>
      <c r="C18" s="31" t="s">
        <v>93</v>
      </c>
      <c r="D18" s="31" t="s">
        <v>94</v>
      </c>
      <c r="E18" s="31">
        <v>470</v>
      </c>
      <c r="F18" s="31">
        <v>0</v>
      </c>
      <c r="G18" s="31">
        <v>470</v>
      </c>
      <c r="H18" s="31">
        <v>470</v>
      </c>
      <c r="I18" s="31">
        <v>0</v>
      </c>
      <c r="J18" s="31" t="s">
        <v>95</v>
      </c>
    </row>
    <row r="19" spans="1:10" s="31" customFormat="1" x14ac:dyDescent="0.4">
      <c r="A19" s="38">
        <v>43830</v>
      </c>
      <c r="B19" s="31" t="s">
        <v>92</v>
      </c>
      <c r="C19" s="31" t="s">
        <v>93</v>
      </c>
      <c r="D19" s="31" t="s">
        <v>94</v>
      </c>
      <c r="E19" s="31">
        <v>470</v>
      </c>
      <c r="F19" s="31">
        <v>0</v>
      </c>
      <c r="G19" s="31">
        <v>470</v>
      </c>
      <c r="H19" s="31">
        <v>470</v>
      </c>
      <c r="I19" s="31">
        <v>0</v>
      </c>
      <c r="J19" s="31" t="s">
        <v>95</v>
      </c>
    </row>
    <row r="20" spans="1:10" s="31" customFormat="1" x14ac:dyDescent="0.4">
      <c r="A20" s="38">
        <v>43830</v>
      </c>
      <c r="B20" s="31" t="s">
        <v>92</v>
      </c>
      <c r="C20" s="31" t="s">
        <v>93</v>
      </c>
      <c r="D20" s="31" t="s">
        <v>94</v>
      </c>
      <c r="E20" s="31">
        <v>470</v>
      </c>
      <c r="F20" s="31">
        <v>0</v>
      </c>
      <c r="G20" s="31">
        <v>470</v>
      </c>
      <c r="H20" s="31">
        <v>470</v>
      </c>
      <c r="I20" s="31">
        <v>0</v>
      </c>
      <c r="J20" s="31" t="s">
        <v>95</v>
      </c>
    </row>
    <row r="21" spans="1:10" s="31" customFormat="1" x14ac:dyDescent="0.4">
      <c r="A21" s="38">
        <v>43828</v>
      </c>
      <c r="B21" s="31" t="s">
        <v>96</v>
      </c>
      <c r="C21" s="31" t="s">
        <v>93</v>
      </c>
      <c r="D21" s="31" t="s">
        <v>94</v>
      </c>
      <c r="E21" s="31">
        <v>3300</v>
      </c>
      <c r="F21" s="31">
        <v>0</v>
      </c>
      <c r="G21" s="31">
        <v>3300</v>
      </c>
      <c r="H21" s="31">
        <v>3300</v>
      </c>
      <c r="I21" s="31">
        <v>0</v>
      </c>
      <c r="J21" s="31" t="s">
        <v>95</v>
      </c>
    </row>
    <row r="22" spans="1:10" s="31" customFormat="1" x14ac:dyDescent="0.4">
      <c r="A22" s="38">
        <v>43827</v>
      </c>
      <c r="B22" s="31" t="s">
        <v>97</v>
      </c>
      <c r="C22" s="31" t="s">
        <v>93</v>
      </c>
      <c r="D22" s="31" t="s">
        <v>94</v>
      </c>
      <c r="E22" s="31">
        <v>7658</v>
      </c>
      <c r="F22" s="31">
        <v>0</v>
      </c>
      <c r="G22" s="31">
        <v>7658</v>
      </c>
      <c r="H22" s="31">
        <v>7658</v>
      </c>
      <c r="I22" s="31">
        <v>0</v>
      </c>
      <c r="J22" s="31" t="s">
        <v>95</v>
      </c>
    </row>
    <row r="23" spans="1:10" s="31" customFormat="1" x14ac:dyDescent="0.4">
      <c r="A23" s="38">
        <v>43826</v>
      </c>
      <c r="B23" s="31" t="s">
        <v>98</v>
      </c>
      <c r="C23" s="31" t="s">
        <v>93</v>
      </c>
      <c r="D23" s="31" t="s">
        <v>94</v>
      </c>
      <c r="E23" s="31">
        <v>6340</v>
      </c>
      <c r="F23" s="31">
        <v>0</v>
      </c>
      <c r="G23" s="31">
        <v>6340</v>
      </c>
      <c r="H23" s="31">
        <v>6340</v>
      </c>
      <c r="I23" s="31">
        <v>0</v>
      </c>
      <c r="J23" s="31" t="s">
        <v>95</v>
      </c>
    </row>
    <row r="24" spans="1:10" s="31" customFormat="1" x14ac:dyDescent="0.4">
      <c r="A24" s="38">
        <v>43823</v>
      </c>
      <c r="B24" s="31" t="s">
        <v>99</v>
      </c>
      <c r="C24" s="31" t="s">
        <v>93</v>
      </c>
      <c r="D24" s="31" t="s">
        <v>94</v>
      </c>
      <c r="E24" s="31">
        <v>10000</v>
      </c>
      <c r="F24" s="31">
        <v>0</v>
      </c>
      <c r="G24" s="31">
        <v>10000</v>
      </c>
      <c r="H24" s="31">
        <v>10000</v>
      </c>
      <c r="I24" s="31">
        <v>0</v>
      </c>
      <c r="J24" s="31" t="s">
        <v>95</v>
      </c>
    </row>
    <row r="25" spans="1:10" s="31" customFormat="1" x14ac:dyDescent="0.4">
      <c r="A25" s="38">
        <v>43822</v>
      </c>
      <c r="B25" s="31" t="s">
        <v>100</v>
      </c>
      <c r="C25" s="31" t="s">
        <v>93</v>
      </c>
      <c r="D25" s="31" t="s">
        <v>94</v>
      </c>
      <c r="E25" s="31">
        <v>5000</v>
      </c>
      <c r="F25" s="31">
        <v>0</v>
      </c>
      <c r="G25" s="31">
        <v>5000</v>
      </c>
      <c r="H25" s="31">
        <v>5000</v>
      </c>
      <c r="I25" s="31">
        <v>0</v>
      </c>
      <c r="J25" s="31" t="s">
        <v>95</v>
      </c>
    </row>
    <row r="26" spans="1:10" s="31" customFormat="1" x14ac:dyDescent="0.4">
      <c r="A26" s="38">
        <v>43822</v>
      </c>
      <c r="B26" s="31" t="s">
        <v>101</v>
      </c>
      <c r="C26" s="31" t="s">
        <v>93</v>
      </c>
      <c r="D26" s="31" t="s">
        <v>94</v>
      </c>
      <c r="E26" s="31">
        <v>12000</v>
      </c>
      <c r="F26" s="31">
        <v>0</v>
      </c>
      <c r="G26" s="31">
        <v>12000</v>
      </c>
      <c r="H26" s="31">
        <v>12000</v>
      </c>
      <c r="I26" s="31">
        <v>0</v>
      </c>
      <c r="J26" s="31" t="s">
        <v>95</v>
      </c>
    </row>
    <row r="27" spans="1:10" s="31" customFormat="1" x14ac:dyDescent="0.4">
      <c r="A27" s="38">
        <v>43822</v>
      </c>
      <c r="B27" s="31" t="s">
        <v>102</v>
      </c>
      <c r="C27" s="31" t="s">
        <v>93</v>
      </c>
      <c r="D27" s="31" t="s">
        <v>94</v>
      </c>
      <c r="E27" s="31">
        <v>4276</v>
      </c>
      <c r="F27" s="31">
        <v>0</v>
      </c>
      <c r="G27" s="31">
        <v>4276</v>
      </c>
      <c r="H27" s="31">
        <v>4276</v>
      </c>
      <c r="I27" s="31">
        <v>0</v>
      </c>
      <c r="J27" s="31" t="s">
        <v>95</v>
      </c>
    </row>
    <row r="28" spans="1:10" s="31" customFormat="1" x14ac:dyDescent="0.4">
      <c r="A28" s="38">
        <v>43821</v>
      </c>
      <c r="B28" s="31" t="s">
        <v>103</v>
      </c>
      <c r="C28" s="31" t="s">
        <v>93</v>
      </c>
      <c r="D28" s="31" t="s">
        <v>94</v>
      </c>
      <c r="E28" s="31">
        <v>10000</v>
      </c>
      <c r="F28" s="31">
        <v>0</v>
      </c>
      <c r="G28" s="31">
        <v>10000</v>
      </c>
      <c r="H28" s="31">
        <v>10000</v>
      </c>
      <c r="I28" s="31">
        <v>0</v>
      </c>
      <c r="J28" s="31" t="s">
        <v>95</v>
      </c>
    </row>
    <row r="29" spans="1:10" s="31" customFormat="1" x14ac:dyDescent="0.4">
      <c r="A29" s="38">
        <v>43821</v>
      </c>
      <c r="B29" s="31" t="s">
        <v>104</v>
      </c>
      <c r="C29" s="31" t="s">
        <v>93</v>
      </c>
      <c r="D29" s="31" t="s">
        <v>94</v>
      </c>
      <c r="E29" s="31">
        <v>2938</v>
      </c>
      <c r="F29" s="31">
        <v>0</v>
      </c>
      <c r="G29" s="31">
        <v>2938</v>
      </c>
      <c r="H29" s="31">
        <v>2938</v>
      </c>
      <c r="I29" s="31">
        <v>0</v>
      </c>
      <c r="J29" s="31" t="s">
        <v>95</v>
      </c>
    </row>
    <row r="30" spans="1:10" s="31" customFormat="1" x14ac:dyDescent="0.4">
      <c r="A30" s="38">
        <v>43821</v>
      </c>
      <c r="B30" s="31" t="s">
        <v>105</v>
      </c>
      <c r="C30" s="31" t="s">
        <v>93</v>
      </c>
      <c r="D30" s="31" t="s">
        <v>94</v>
      </c>
      <c r="E30" s="31">
        <v>3278</v>
      </c>
      <c r="F30" s="31">
        <v>0</v>
      </c>
      <c r="G30" s="31">
        <v>3278</v>
      </c>
      <c r="H30" s="31">
        <v>3278</v>
      </c>
      <c r="I30" s="31">
        <v>0</v>
      </c>
      <c r="J30" s="31" t="s">
        <v>95</v>
      </c>
    </row>
    <row r="31" spans="1:10" s="31" customFormat="1" x14ac:dyDescent="0.4">
      <c r="A31" s="38">
        <v>43816</v>
      </c>
      <c r="B31" s="31" t="s">
        <v>106</v>
      </c>
      <c r="C31" s="31" t="s">
        <v>93</v>
      </c>
      <c r="D31" s="31" t="s">
        <v>94</v>
      </c>
      <c r="E31" s="31">
        <v>5995</v>
      </c>
      <c r="F31" s="31">
        <v>0</v>
      </c>
      <c r="G31" s="31">
        <v>5995</v>
      </c>
      <c r="H31" s="31">
        <v>5995</v>
      </c>
      <c r="I31" s="31">
        <v>0</v>
      </c>
      <c r="J31" s="31" t="s">
        <v>95</v>
      </c>
    </row>
    <row r="32" spans="1:10" s="31" customFormat="1" x14ac:dyDescent="0.4">
      <c r="A32" s="38">
        <v>43816</v>
      </c>
      <c r="B32" s="31" t="s">
        <v>107</v>
      </c>
      <c r="C32" s="31" t="s">
        <v>93</v>
      </c>
      <c r="D32" s="31" t="s">
        <v>94</v>
      </c>
      <c r="E32" s="31">
        <v>4625</v>
      </c>
      <c r="F32" s="31">
        <v>0</v>
      </c>
      <c r="G32" s="31">
        <v>4625</v>
      </c>
      <c r="H32" s="31">
        <v>4625</v>
      </c>
      <c r="I32" s="31">
        <v>0</v>
      </c>
      <c r="J32" s="31" t="s">
        <v>95</v>
      </c>
    </row>
    <row r="33" spans="1:10" s="31" customFormat="1" x14ac:dyDescent="0.4">
      <c r="A33" s="38">
        <v>43815</v>
      </c>
      <c r="B33" s="31" t="s">
        <v>108</v>
      </c>
      <c r="C33" s="31" t="s">
        <v>93</v>
      </c>
      <c r="D33" s="31" t="s">
        <v>94</v>
      </c>
      <c r="E33" s="31">
        <v>2728</v>
      </c>
      <c r="F33" s="31">
        <v>0</v>
      </c>
      <c r="G33" s="31">
        <v>2728</v>
      </c>
      <c r="H33" s="31">
        <v>2728</v>
      </c>
      <c r="I33" s="31">
        <v>0</v>
      </c>
      <c r="J33" s="31" t="s">
        <v>95</v>
      </c>
    </row>
    <row r="34" spans="1:10" s="31" customFormat="1" x14ac:dyDescent="0.4">
      <c r="A34" s="38">
        <v>43815</v>
      </c>
      <c r="B34" s="31" t="s">
        <v>109</v>
      </c>
      <c r="C34" s="31" t="s">
        <v>93</v>
      </c>
      <c r="D34" s="31" t="s">
        <v>94</v>
      </c>
      <c r="E34" s="31">
        <v>10190</v>
      </c>
      <c r="F34" s="31">
        <v>0</v>
      </c>
      <c r="G34" s="31">
        <v>10190</v>
      </c>
      <c r="H34" s="31">
        <v>10190</v>
      </c>
      <c r="I34" s="31">
        <v>0</v>
      </c>
      <c r="J34" s="31" t="s">
        <v>95</v>
      </c>
    </row>
    <row r="35" spans="1:10" s="31" customFormat="1" x14ac:dyDescent="0.4">
      <c r="A35" s="38">
        <v>43814</v>
      </c>
      <c r="B35" s="31" t="s">
        <v>110</v>
      </c>
      <c r="C35" s="31" t="s">
        <v>93</v>
      </c>
      <c r="D35" s="31" t="s">
        <v>94</v>
      </c>
      <c r="E35" s="31">
        <v>17259</v>
      </c>
      <c r="F35" s="31">
        <v>0</v>
      </c>
      <c r="G35" s="31">
        <v>17259</v>
      </c>
      <c r="H35" s="31">
        <v>17259</v>
      </c>
      <c r="I35" s="31">
        <v>0</v>
      </c>
      <c r="J35" s="31" t="s">
        <v>95</v>
      </c>
    </row>
    <row r="36" spans="1:10" s="31" customFormat="1" x14ac:dyDescent="0.4">
      <c r="A36" s="38">
        <v>43814</v>
      </c>
      <c r="B36" s="31" t="s">
        <v>111</v>
      </c>
      <c r="C36" s="31" t="s">
        <v>93</v>
      </c>
      <c r="D36" s="31" t="s">
        <v>94</v>
      </c>
      <c r="E36" s="31">
        <v>23970</v>
      </c>
      <c r="F36" s="31">
        <v>0</v>
      </c>
      <c r="G36" s="31">
        <v>23970</v>
      </c>
      <c r="H36" s="31">
        <v>23970</v>
      </c>
      <c r="I36" s="31">
        <v>0</v>
      </c>
      <c r="J36" s="31" t="s">
        <v>95</v>
      </c>
    </row>
    <row r="37" spans="1:10" s="31" customFormat="1" x14ac:dyDescent="0.4">
      <c r="A37" s="38">
        <v>43810</v>
      </c>
      <c r="B37" s="31" t="s">
        <v>112</v>
      </c>
      <c r="C37" s="31" t="s">
        <v>93</v>
      </c>
      <c r="D37" s="31" t="s">
        <v>94</v>
      </c>
      <c r="E37" s="31">
        <v>3420</v>
      </c>
      <c r="F37" s="31">
        <v>0</v>
      </c>
      <c r="G37" s="31">
        <v>3420</v>
      </c>
      <c r="H37" s="31">
        <v>3420</v>
      </c>
      <c r="I37" s="31">
        <v>0</v>
      </c>
      <c r="J37" s="31" t="s">
        <v>95</v>
      </c>
    </row>
    <row r="38" spans="1:10" s="31" customFormat="1" x14ac:dyDescent="0.4">
      <c r="A38" s="38">
        <v>43808</v>
      </c>
      <c r="B38" s="31" t="s">
        <v>113</v>
      </c>
      <c r="C38" s="31" t="s">
        <v>93</v>
      </c>
      <c r="D38" s="31" t="s">
        <v>94</v>
      </c>
      <c r="E38" s="31">
        <v>11196</v>
      </c>
      <c r="F38" s="31">
        <v>0</v>
      </c>
      <c r="G38" s="31">
        <v>11196</v>
      </c>
      <c r="H38" s="31">
        <v>11196</v>
      </c>
      <c r="I38" s="31">
        <v>0</v>
      </c>
      <c r="J38" s="31" t="s">
        <v>95</v>
      </c>
    </row>
    <row r="39" spans="1:10" s="31" customFormat="1" x14ac:dyDescent="0.4">
      <c r="A39" s="38">
        <v>43807</v>
      </c>
      <c r="B39" s="31" t="s">
        <v>114</v>
      </c>
      <c r="C39" s="31" t="s">
        <v>93</v>
      </c>
      <c r="D39" s="31" t="s">
        <v>94</v>
      </c>
      <c r="E39" s="31">
        <v>1534</v>
      </c>
      <c r="F39" s="31">
        <v>0</v>
      </c>
      <c r="G39" s="31">
        <v>1534</v>
      </c>
      <c r="H39" s="31">
        <v>1534</v>
      </c>
      <c r="I39" s="31">
        <v>0</v>
      </c>
      <c r="J39" s="31" t="s">
        <v>95</v>
      </c>
    </row>
    <row r="40" spans="1:10" s="31" customFormat="1" x14ac:dyDescent="0.4">
      <c r="A40" s="38">
        <v>43807</v>
      </c>
      <c r="B40" s="31" t="s">
        <v>115</v>
      </c>
      <c r="C40" s="31" t="s">
        <v>93</v>
      </c>
      <c r="D40" s="31" t="s">
        <v>94</v>
      </c>
      <c r="E40" s="31">
        <v>4900</v>
      </c>
      <c r="F40" s="31">
        <v>0</v>
      </c>
      <c r="G40" s="31">
        <v>4900</v>
      </c>
      <c r="H40" s="31">
        <v>4900</v>
      </c>
      <c r="I40" s="31">
        <v>0</v>
      </c>
      <c r="J40" s="31" t="s">
        <v>95</v>
      </c>
    </row>
    <row r="41" spans="1:10" s="31" customFormat="1" ht="37.5" x14ac:dyDescent="0.4">
      <c r="A41" s="38">
        <v>43806</v>
      </c>
      <c r="B41" s="40" t="s">
        <v>121</v>
      </c>
      <c r="C41" s="31" t="s">
        <v>93</v>
      </c>
      <c r="D41" s="31" t="s">
        <v>94</v>
      </c>
      <c r="E41" s="31">
        <v>2600</v>
      </c>
      <c r="F41" s="31">
        <v>0</v>
      </c>
      <c r="G41" s="31">
        <v>2600</v>
      </c>
      <c r="H41" s="31">
        <v>2600</v>
      </c>
      <c r="I41" s="31">
        <v>0</v>
      </c>
      <c r="J41" s="31" t="s">
        <v>95</v>
      </c>
    </row>
    <row r="42" spans="1:10" s="31" customFormat="1" x14ac:dyDescent="0.4">
      <c r="A42" s="38">
        <v>43805</v>
      </c>
      <c r="B42" s="31" t="s">
        <v>116</v>
      </c>
      <c r="C42" s="31" t="s">
        <v>93</v>
      </c>
      <c r="D42" s="31" t="s">
        <v>94</v>
      </c>
      <c r="E42" s="31">
        <v>1900</v>
      </c>
      <c r="F42" s="31">
        <v>0</v>
      </c>
      <c r="G42" s="31">
        <v>1900</v>
      </c>
      <c r="H42" s="31">
        <v>1900</v>
      </c>
      <c r="I42" s="31">
        <v>0</v>
      </c>
      <c r="J42" s="31" t="s">
        <v>95</v>
      </c>
    </row>
    <row r="43" spans="1:10" s="31" customFormat="1" x14ac:dyDescent="0.4">
      <c r="A43" s="38">
        <v>43800</v>
      </c>
      <c r="B43" s="31" t="s">
        <v>117</v>
      </c>
      <c r="C43" s="31" t="s">
        <v>93</v>
      </c>
      <c r="D43" s="31" t="s">
        <v>94</v>
      </c>
      <c r="E43" s="31">
        <v>748</v>
      </c>
      <c r="F43" s="31">
        <v>0</v>
      </c>
      <c r="G43" s="31">
        <v>748</v>
      </c>
      <c r="H43" s="31">
        <v>748</v>
      </c>
      <c r="I43" s="31">
        <v>0</v>
      </c>
      <c r="J43" s="31" t="s">
        <v>95</v>
      </c>
    </row>
    <row r="44" spans="1:10" s="31" customFormat="1" x14ac:dyDescent="0.4">
      <c r="A44" s="38">
        <v>43800</v>
      </c>
      <c r="B44" s="31" t="s">
        <v>96</v>
      </c>
      <c r="C44" s="31" t="s">
        <v>93</v>
      </c>
      <c r="D44" s="31" t="s">
        <v>94</v>
      </c>
      <c r="E44" s="31">
        <v>8789</v>
      </c>
      <c r="F44" s="31">
        <v>0</v>
      </c>
      <c r="G44" s="31">
        <v>8789</v>
      </c>
      <c r="H44" s="31">
        <v>8789</v>
      </c>
      <c r="I44" s="31">
        <v>0</v>
      </c>
      <c r="J44" s="31" t="s">
        <v>95</v>
      </c>
    </row>
    <row r="45" spans="1:10" s="31" customFormat="1" x14ac:dyDescent="0.4">
      <c r="A45" s="38">
        <v>43799</v>
      </c>
      <c r="B45" s="31" t="s">
        <v>118</v>
      </c>
      <c r="C45" s="31" t="s">
        <v>93</v>
      </c>
      <c r="D45" s="31" t="s">
        <v>94</v>
      </c>
      <c r="E45" s="31">
        <v>3300</v>
      </c>
      <c r="F45" s="31">
        <v>0</v>
      </c>
      <c r="G45" s="31">
        <v>3300</v>
      </c>
      <c r="H45" s="31">
        <v>3300</v>
      </c>
      <c r="I45" s="31">
        <v>0</v>
      </c>
      <c r="J45" s="31" t="s">
        <v>95</v>
      </c>
    </row>
    <row r="46" spans="1:10" s="31" customFormat="1" x14ac:dyDescent="0.4">
      <c r="A46" s="38">
        <v>43795</v>
      </c>
      <c r="B46" s="31" t="s">
        <v>119</v>
      </c>
      <c r="C46" s="31" t="s">
        <v>93</v>
      </c>
      <c r="D46" s="31" t="s">
        <v>94</v>
      </c>
      <c r="E46" s="31">
        <v>8879</v>
      </c>
      <c r="F46" s="31">
        <v>0</v>
      </c>
      <c r="G46" s="31">
        <v>8879</v>
      </c>
      <c r="H46" s="31">
        <v>8879</v>
      </c>
      <c r="I46" s="31">
        <v>0</v>
      </c>
      <c r="J46" s="31" t="s">
        <v>95</v>
      </c>
    </row>
    <row r="47" spans="1:10" s="31" customFormat="1" ht="37.5" x14ac:dyDescent="0.4">
      <c r="A47" s="38">
        <v>43786</v>
      </c>
      <c r="B47" s="40" t="s">
        <v>122</v>
      </c>
      <c r="C47" s="31" t="s">
        <v>93</v>
      </c>
      <c r="D47" s="31" t="s">
        <v>94</v>
      </c>
      <c r="E47" s="31">
        <v>1670</v>
      </c>
      <c r="F47" s="31">
        <v>0</v>
      </c>
      <c r="G47" s="31">
        <v>1670</v>
      </c>
      <c r="H47" s="31">
        <v>1670</v>
      </c>
      <c r="I47" s="31">
        <v>0</v>
      </c>
      <c r="J47" s="31" t="s">
        <v>95</v>
      </c>
    </row>
    <row r="48" spans="1:10" s="31" customFormat="1" ht="37.5" x14ac:dyDescent="0.4">
      <c r="A48" s="38">
        <v>43785</v>
      </c>
      <c r="B48" s="40" t="s">
        <v>122</v>
      </c>
      <c r="C48" s="31" t="s">
        <v>93</v>
      </c>
      <c r="D48" s="31" t="s">
        <v>94</v>
      </c>
      <c r="E48" s="31">
        <v>1670</v>
      </c>
      <c r="F48" s="31">
        <v>0</v>
      </c>
      <c r="G48" s="31">
        <v>1670</v>
      </c>
      <c r="H48" s="31">
        <v>1670</v>
      </c>
      <c r="I48" s="31">
        <v>0</v>
      </c>
      <c r="J48" s="31" t="s">
        <v>95</v>
      </c>
    </row>
    <row r="49" spans="1:10" s="31" customFormat="1" ht="37.5" x14ac:dyDescent="0.4">
      <c r="A49" s="38">
        <v>43785</v>
      </c>
      <c r="B49" s="40" t="s">
        <v>122</v>
      </c>
      <c r="C49" s="31" t="s">
        <v>93</v>
      </c>
      <c r="D49" s="31" t="s">
        <v>94</v>
      </c>
      <c r="E49" s="31">
        <v>100</v>
      </c>
      <c r="F49" s="31">
        <v>0</v>
      </c>
      <c r="G49" s="31">
        <v>100</v>
      </c>
      <c r="H49" s="31">
        <v>100</v>
      </c>
      <c r="I49" s="31">
        <v>0</v>
      </c>
      <c r="J49" s="31" t="s">
        <v>95</v>
      </c>
    </row>
    <row r="50" spans="1:10" s="31" customFormat="1" x14ac:dyDescent="0.4">
      <c r="A50" s="38">
        <v>43861</v>
      </c>
      <c r="B50" s="31" t="s">
        <v>92</v>
      </c>
      <c r="C50" s="31" t="s">
        <v>93</v>
      </c>
      <c r="D50" s="31" t="s">
        <v>94</v>
      </c>
      <c r="E50" s="31">
        <v>470</v>
      </c>
      <c r="F50" s="31">
        <v>0</v>
      </c>
      <c r="G50" s="31">
        <v>470</v>
      </c>
      <c r="H50" s="31">
        <v>470</v>
      </c>
      <c r="I50" s="31">
        <v>0</v>
      </c>
      <c r="J50" s="31" t="s">
        <v>95</v>
      </c>
    </row>
    <row r="51" spans="1:10" s="31" customFormat="1" x14ac:dyDescent="0.4">
      <c r="A51" s="38">
        <v>43861</v>
      </c>
      <c r="B51" s="31" t="s">
        <v>92</v>
      </c>
      <c r="C51" s="31" t="s">
        <v>93</v>
      </c>
      <c r="D51" s="31" t="s">
        <v>94</v>
      </c>
      <c r="E51" s="31">
        <v>470</v>
      </c>
      <c r="F51" s="31">
        <v>0</v>
      </c>
      <c r="G51" s="31">
        <v>470</v>
      </c>
      <c r="H51" s="31">
        <v>470</v>
      </c>
      <c r="I51" s="31">
        <v>0</v>
      </c>
      <c r="J51" s="31" t="s">
        <v>95</v>
      </c>
    </row>
    <row r="52" spans="1:10" s="31" customFormat="1" x14ac:dyDescent="0.4">
      <c r="A52" s="38">
        <v>43861</v>
      </c>
      <c r="B52" s="31" t="s">
        <v>92</v>
      </c>
      <c r="C52" s="31" t="s">
        <v>93</v>
      </c>
      <c r="D52" s="31" t="s">
        <v>94</v>
      </c>
      <c r="E52" s="31">
        <v>470</v>
      </c>
      <c r="F52" s="31">
        <v>0</v>
      </c>
      <c r="G52" s="31">
        <v>470</v>
      </c>
      <c r="H52" s="31">
        <v>470</v>
      </c>
      <c r="I52" s="31">
        <v>0</v>
      </c>
      <c r="J52" s="31" t="s">
        <v>95</v>
      </c>
    </row>
    <row r="53" spans="1:10" s="31" customFormat="1" x14ac:dyDescent="0.4">
      <c r="A53" s="38">
        <v>43861</v>
      </c>
      <c r="B53" s="31" t="s">
        <v>92</v>
      </c>
      <c r="C53" s="31" t="s">
        <v>93</v>
      </c>
      <c r="D53" s="31" t="s">
        <v>94</v>
      </c>
      <c r="E53" s="31">
        <v>470</v>
      </c>
      <c r="F53" s="31">
        <v>0</v>
      </c>
      <c r="G53" s="31">
        <v>470</v>
      </c>
      <c r="H53" s="31">
        <v>470</v>
      </c>
      <c r="I53" s="31">
        <v>0</v>
      </c>
      <c r="J53" s="31" t="s">
        <v>95</v>
      </c>
    </row>
    <row r="54" spans="1:10" s="31" customFormat="1" x14ac:dyDescent="0.4">
      <c r="A54" s="38">
        <v>43861</v>
      </c>
      <c r="B54" s="31" t="s">
        <v>92</v>
      </c>
      <c r="C54" s="31" t="s">
        <v>93</v>
      </c>
      <c r="D54" s="31" t="s">
        <v>94</v>
      </c>
      <c r="E54" s="31">
        <v>470</v>
      </c>
      <c r="F54" s="31">
        <v>0</v>
      </c>
      <c r="G54" s="31">
        <v>470</v>
      </c>
      <c r="H54" s="31">
        <v>470</v>
      </c>
      <c r="I54" s="31">
        <v>0</v>
      </c>
      <c r="J54" s="31" t="s">
        <v>95</v>
      </c>
    </row>
    <row r="55" spans="1:10" s="31" customFormat="1" x14ac:dyDescent="0.4">
      <c r="A55" s="38">
        <v>43861</v>
      </c>
      <c r="B55" s="31" t="s">
        <v>92</v>
      </c>
      <c r="C55" s="31" t="s">
        <v>93</v>
      </c>
      <c r="D55" s="31" t="s">
        <v>94</v>
      </c>
      <c r="E55" s="31">
        <v>470</v>
      </c>
      <c r="F55" s="31">
        <v>0</v>
      </c>
      <c r="G55" s="31">
        <v>470</v>
      </c>
      <c r="H55" s="31">
        <v>470</v>
      </c>
      <c r="I55" s="31">
        <v>0</v>
      </c>
      <c r="J55" s="31" t="s">
        <v>95</v>
      </c>
    </row>
    <row r="56" spans="1:10" s="31" customFormat="1" x14ac:dyDescent="0.4">
      <c r="A56" s="38">
        <v>43861</v>
      </c>
      <c r="B56" s="31" t="s">
        <v>92</v>
      </c>
      <c r="C56" s="31" t="s">
        <v>93</v>
      </c>
      <c r="D56" s="31" t="s">
        <v>94</v>
      </c>
      <c r="E56" s="31">
        <v>470</v>
      </c>
      <c r="F56" s="31">
        <v>0</v>
      </c>
      <c r="G56" s="31">
        <v>470</v>
      </c>
      <c r="H56" s="31">
        <v>470</v>
      </c>
      <c r="I56" s="31">
        <v>0</v>
      </c>
      <c r="J56" s="31" t="s">
        <v>95</v>
      </c>
    </row>
    <row r="57" spans="1:10" s="31" customFormat="1" x14ac:dyDescent="0.4">
      <c r="A57" s="38">
        <v>43861</v>
      </c>
      <c r="B57" s="31" t="s">
        <v>92</v>
      </c>
      <c r="C57" s="31" t="s">
        <v>93</v>
      </c>
      <c r="D57" s="31" t="s">
        <v>94</v>
      </c>
      <c r="E57" s="31">
        <v>470</v>
      </c>
      <c r="F57" s="31">
        <v>0</v>
      </c>
      <c r="G57" s="31">
        <v>470</v>
      </c>
      <c r="H57" s="31">
        <v>470</v>
      </c>
      <c r="I57" s="31">
        <v>0</v>
      </c>
      <c r="J57" s="31" t="s">
        <v>95</v>
      </c>
    </row>
    <row r="58" spans="1:10" s="31" customFormat="1" x14ac:dyDescent="0.4">
      <c r="A58" s="38">
        <v>43861</v>
      </c>
      <c r="B58" s="31" t="s">
        <v>92</v>
      </c>
      <c r="C58" s="31" t="s">
        <v>93</v>
      </c>
      <c r="D58" s="31" t="s">
        <v>94</v>
      </c>
      <c r="E58" s="31">
        <v>470</v>
      </c>
      <c r="F58" s="31">
        <v>0</v>
      </c>
      <c r="G58" s="31">
        <v>470</v>
      </c>
      <c r="H58" s="31">
        <v>470</v>
      </c>
      <c r="I58" s="31">
        <v>0</v>
      </c>
      <c r="J58" s="31" t="s">
        <v>95</v>
      </c>
    </row>
    <row r="59" spans="1:10" s="31" customFormat="1" x14ac:dyDescent="0.4">
      <c r="A59" s="38">
        <v>43861</v>
      </c>
      <c r="B59" s="31" t="s">
        <v>92</v>
      </c>
      <c r="C59" s="31" t="s">
        <v>93</v>
      </c>
      <c r="D59" s="31" t="s">
        <v>94</v>
      </c>
      <c r="E59" s="31">
        <v>470</v>
      </c>
      <c r="F59" s="31">
        <v>0</v>
      </c>
      <c r="G59" s="31">
        <v>470</v>
      </c>
      <c r="H59" s="31">
        <v>470</v>
      </c>
      <c r="I59" s="31">
        <v>0</v>
      </c>
      <c r="J59" s="31" t="s">
        <v>95</v>
      </c>
    </row>
    <row r="60" spans="1:10" s="31" customFormat="1" x14ac:dyDescent="0.4">
      <c r="A60" s="38">
        <v>43861</v>
      </c>
      <c r="B60" s="31" t="s">
        <v>92</v>
      </c>
      <c r="C60" s="31" t="s">
        <v>93</v>
      </c>
      <c r="D60" s="31" t="s">
        <v>94</v>
      </c>
      <c r="E60" s="31">
        <v>470</v>
      </c>
      <c r="F60" s="31">
        <v>0</v>
      </c>
      <c r="G60" s="31">
        <v>470</v>
      </c>
      <c r="H60" s="31">
        <v>470</v>
      </c>
      <c r="I60" s="31">
        <v>0</v>
      </c>
      <c r="J60" s="31" t="s">
        <v>95</v>
      </c>
    </row>
    <row r="61" spans="1:10" s="31" customFormat="1" x14ac:dyDescent="0.4">
      <c r="A61" s="38">
        <v>43861</v>
      </c>
      <c r="B61" s="31" t="s">
        <v>92</v>
      </c>
      <c r="C61" s="31" t="s">
        <v>93</v>
      </c>
      <c r="D61" s="31" t="s">
        <v>94</v>
      </c>
      <c r="E61" s="31">
        <v>470</v>
      </c>
      <c r="F61" s="31">
        <v>0</v>
      </c>
      <c r="G61" s="31">
        <v>470</v>
      </c>
      <c r="H61" s="31">
        <v>470</v>
      </c>
      <c r="I61" s="31">
        <v>0</v>
      </c>
      <c r="J61" s="31" t="s">
        <v>95</v>
      </c>
    </row>
    <row r="62" spans="1:10" s="31" customFormat="1" x14ac:dyDescent="0.4">
      <c r="A62" s="38">
        <v>43861</v>
      </c>
      <c r="B62" s="31" t="s">
        <v>92</v>
      </c>
      <c r="C62" s="31" t="s">
        <v>93</v>
      </c>
      <c r="D62" s="31" t="s">
        <v>94</v>
      </c>
      <c r="E62" s="31">
        <v>470</v>
      </c>
      <c r="F62" s="31">
        <v>0</v>
      </c>
      <c r="G62" s="31">
        <v>470</v>
      </c>
      <c r="H62" s="31">
        <v>470</v>
      </c>
      <c r="I62" s="31">
        <v>0</v>
      </c>
      <c r="J62" s="31" t="s">
        <v>95</v>
      </c>
    </row>
    <row r="63" spans="1:10" s="31" customFormat="1" x14ac:dyDescent="0.4">
      <c r="A63" s="38">
        <v>43861</v>
      </c>
      <c r="B63" s="31" t="s">
        <v>92</v>
      </c>
      <c r="C63" s="31" t="s">
        <v>93</v>
      </c>
      <c r="D63" s="31" t="s">
        <v>94</v>
      </c>
      <c r="E63" s="31">
        <v>470</v>
      </c>
      <c r="F63" s="31">
        <v>0</v>
      </c>
      <c r="G63" s="31">
        <v>470</v>
      </c>
      <c r="H63" s="31">
        <v>470</v>
      </c>
      <c r="I63" s="31">
        <v>0</v>
      </c>
      <c r="J63" s="31" t="s">
        <v>95</v>
      </c>
    </row>
    <row r="64" spans="1:10" s="31" customFormat="1" x14ac:dyDescent="0.4">
      <c r="A64" s="38">
        <v>43861</v>
      </c>
      <c r="B64" s="31" t="s">
        <v>92</v>
      </c>
      <c r="C64" s="31" t="s">
        <v>93</v>
      </c>
      <c r="D64" s="31" t="s">
        <v>94</v>
      </c>
      <c r="E64" s="31">
        <v>470</v>
      </c>
      <c r="F64" s="31">
        <v>0</v>
      </c>
      <c r="G64" s="31">
        <v>470</v>
      </c>
      <c r="H64" s="31">
        <v>470</v>
      </c>
      <c r="I64" s="31">
        <v>0</v>
      </c>
      <c r="J64" s="31" t="s">
        <v>95</v>
      </c>
    </row>
    <row r="65" spans="1:10" s="31" customFormat="1" x14ac:dyDescent="0.4">
      <c r="A65" s="38">
        <v>43861</v>
      </c>
      <c r="B65" s="31" t="s">
        <v>92</v>
      </c>
      <c r="C65" s="31" t="s">
        <v>93</v>
      </c>
      <c r="D65" s="31" t="s">
        <v>94</v>
      </c>
      <c r="E65" s="31">
        <v>470</v>
      </c>
      <c r="F65" s="31">
        <v>0</v>
      </c>
      <c r="G65" s="31">
        <v>470</v>
      </c>
      <c r="H65" s="31">
        <v>470</v>
      </c>
      <c r="I65" s="31">
        <v>0</v>
      </c>
      <c r="J65" s="31" t="s">
        <v>95</v>
      </c>
    </row>
    <row r="66" spans="1:10" s="31" customFormat="1" x14ac:dyDescent="0.4">
      <c r="A66" s="38">
        <v>43861</v>
      </c>
      <c r="B66" s="31" t="s">
        <v>92</v>
      </c>
      <c r="C66" s="31" t="s">
        <v>93</v>
      </c>
      <c r="D66" s="31" t="s">
        <v>94</v>
      </c>
      <c r="E66" s="31">
        <v>470</v>
      </c>
      <c r="F66" s="31">
        <v>0</v>
      </c>
      <c r="G66" s="31">
        <v>470</v>
      </c>
      <c r="H66" s="31">
        <v>470</v>
      </c>
      <c r="I66" s="31">
        <v>0</v>
      </c>
      <c r="J66" s="31" t="s">
        <v>95</v>
      </c>
    </row>
    <row r="67" spans="1:10" s="31" customFormat="1" x14ac:dyDescent="0.4">
      <c r="A67" s="38">
        <v>43861</v>
      </c>
      <c r="B67" s="31" t="s">
        <v>92</v>
      </c>
      <c r="C67" s="31" t="s">
        <v>93</v>
      </c>
      <c r="D67" s="31" t="s">
        <v>94</v>
      </c>
      <c r="E67" s="31">
        <v>470</v>
      </c>
      <c r="F67" s="31">
        <v>0</v>
      </c>
      <c r="G67" s="31">
        <v>470</v>
      </c>
      <c r="H67" s="31">
        <v>470</v>
      </c>
      <c r="I67" s="31">
        <v>0</v>
      </c>
      <c r="J67" s="31" t="s">
        <v>95</v>
      </c>
    </row>
    <row r="68" spans="1:10" s="31" customFormat="1" x14ac:dyDescent="0.4">
      <c r="A68" s="38">
        <v>43861</v>
      </c>
      <c r="B68" s="31" t="s">
        <v>92</v>
      </c>
      <c r="C68" s="31" t="s">
        <v>93</v>
      </c>
      <c r="D68" s="31" t="s">
        <v>94</v>
      </c>
      <c r="E68" s="31">
        <v>470</v>
      </c>
      <c r="F68" s="31">
        <v>0</v>
      </c>
      <c r="G68" s="31">
        <v>470</v>
      </c>
      <c r="H68" s="31">
        <v>470</v>
      </c>
      <c r="I68" s="31">
        <v>0</v>
      </c>
      <c r="J68" s="31" t="s">
        <v>95</v>
      </c>
    </row>
    <row r="69" spans="1:10" s="31" customFormat="1" x14ac:dyDescent="0.4">
      <c r="A69" s="38">
        <v>43856</v>
      </c>
      <c r="B69" s="31" t="s">
        <v>176</v>
      </c>
      <c r="C69" s="31" t="s">
        <v>93</v>
      </c>
      <c r="D69" s="31" t="s">
        <v>94</v>
      </c>
      <c r="E69" s="31">
        <v>605</v>
      </c>
      <c r="F69" s="31">
        <v>0</v>
      </c>
      <c r="G69" s="31">
        <v>605</v>
      </c>
      <c r="H69" s="31">
        <v>605</v>
      </c>
      <c r="I69" s="31">
        <v>0</v>
      </c>
      <c r="J69" s="31" t="s">
        <v>95</v>
      </c>
    </row>
    <row r="70" spans="1:10" s="31" customFormat="1" ht="37.5" x14ac:dyDescent="0.4">
      <c r="A70" s="38">
        <v>43856</v>
      </c>
      <c r="B70" s="40" t="s">
        <v>121</v>
      </c>
      <c r="C70" s="31" t="s">
        <v>93</v>
      </c>
      <c r="D70" s="31" t="s">
        <v>94</v>
      </c>
      <c r="E70" s="31">
        <v>2644</v>
      </c>
      <c r="F70" s="31">
        <v>0</v>
      </c>
      <c r="G70" s="31">
        <v>2644</v>
      </c>
      <c r="H70" s="31">
        <v>2644</v>
      </c>
      <c r="I70" s="31">
        <v>0</v>
      </c>
      <c r="J70" s="31" t="s">
        <v>95</v>
      </c>
    </row>
    <row r="71" spans="1:10" s="31" customFormat="1" x14ac:dyDescent="0.4">
      <c r="A71" s="38">
        <v>43852</v>
      </c>
      <c r="B71" s="31" t="s">
        <v>177</v>
      </c>
      <c r="C71" s="31" t="s">
        <v>93</v>
      </c>
      <c r="D71" s="31" t="s">
        <v>94</v>
      </c>
      <c r="E71" s="31">
        <v>3240</v>
      </c>
      <c r="F71" s="31">
        <v>0</v>
      </c>
      <c r="G71" s="31">
        <v>3240</v>
      </c>
      <c r="H71" s="31">
        <v>3240</v>
      </c>
      <c r="I71" s="31">
        <v>0</v>
      </c>
      <c r="J71" s="31" t="s">
        <v>95</v>
      </c>
    </row>
    <row r="72" spans="1:10" s="31" customFormat="1" x14ac:dyDescent="0.4">
      <c r="A72" s="38">
        <v>43845</v>
      </c>
      <c r="B72" s="31" t="s">
        <v>178</v>
      </c>
      <c r="C72" s="31" t="s">
        <v>93</v>
      </c>
      <c r="D72" s="31" t="s">
        <v>94</v>
      </c>
      <c r="E72" s="31">
        <v>17149</v>
      </c>
      <c r="F72" s="31">
        <v>0</v>
      </c>
      <c r="G72" s="31">
        <v>17149</v>
      </c>
      <c r="H72" s="31">
        <v>17149</v>
      </c>
      <c r="I72" s="31">
        <v>0</v>
      </c>
      <c r="J72" s="31" t="s">
        <v>95</v>
      </c>
    </row>
    <row r="73" spans="1:10" s="31" customFormat="1" x14ac:dyDescent="0.4">
      <c r="A73" s="38">
        <v>43844</v>
      </c>
      <c r="B73" s="31" t="s">
        <v>112</v>
      </c>
      <c r="C73" s="31" t="s">
        <v>93</v>
      </c>
      <c r="D73" s="31" t="s">
        <v>94</v>
      </c>
      <c r="E73" s="31">
        <v>3420</v>
      </c>
      <c r="F73" s="31">
        <v>0</v>
      </c>
      <c r="G73" s="31">
        <v>3420</v>
      </c>
      <c r="H73" s="31">
        <v>3420</v>
      </c>
      <c r="I73" s="31">
        <v>0</v>
      </c>
      <c r="J73" s="31" t="s">
        <v>95</v>
      </c>
    </row>
    <row r="74" spans="1:10" s="31" customFormat="1" x14ac:dyDescent="0.4">
      <c r="A74" s="38">
        <v>43839</v>
      </c>
      <c r="B74" s="31" t="s">
        <v>179</v>
      </c>
      <c r="C74" s="31" t="s">
        <v>93</v>
      </c>
      <c r="D74" s="31" t="s">
        <v>94</v>
      </c>
      <c r="E74" s="31">
        <v>16804</v>
      </c>
      <c r="F74" s="31">
        <v>0</v>
      </c>
      <c r="G74" s="31">
        <v>16804</v>
      </c>
      <c r="H74" s="31">
        <v>16804</v>
      </c>
      <c r="I74" s="31">
        <v>0</v>
      </c>
      <c r="J74" s="31" t="s">
        <v>95</v>
      </c>
    </row>
    <row r="75" spans="1:10" s="31" customFormat="1" x14ac:dyDescent="0.4">
      <c r="A75" s="38">
        <v>43832</v>
      </c>
      <c r="B75" s="31" t="s">
        <v>114</v>
      </c>
      <c r="C75" s="31" t="s">
        <v>93</v>
      </c>
      <c r="D75" s="31" t="s">
        <v>94</v>
      </c>
      <c r="E75" s="31">
        <v>1172</v>
      </c>
      <c r="F75" s="31">
        <v>0</v>
      </c>
      <c r="G75" s="31">
        <v>1172</v>
      </c>
      <c r="H75" s="31">
        <v>1172</v>
      </c>
      <c r="I75" s="31">
        <v>0</v>
      </c>
      <c r="J75" s="31" t="s">
        <v>95</v>
      </c>
    </row>
    <row r="76" spans="1:10" s="31" customFormat="1" x14ac:dyDescent="0.4">
      <c r="A76" s="38">
        <v>43831</v>
      </c>
      <c r="B76" s="31" t="s">
        <v>117</v>
      </c>
      <c r="C76" s="31" t="s">
        <v>93</v>
      </c>
      <c r="D76" s="31" t="s">
        <v>94</v>
      </c>
      <c r="E76" s="31">
        <v>748</v>
      </c>
      <c r="F76" s="31">
        <v>0</v>
      </c>
      <c r="G76" s="31">
        <v>748</v>
      </c>
      <c r="H76" s="31">
        <v>748</v>
      </c>
      <c r="I76" s="31">
        <v>0</v>
      </c>
      <c r="J76" s="31" t="s">
        <v>95</v>
      </c>
    </row>
    <row r="77" spans="1:10" s="31" customFormat="1" x14ac:dyDescent="0.4">
      <c r="A77" s="38">
        <v>43823</v>
      </c>
      <c r="B77" s="31" t="s">
        <v>180</v>
      </c>
      <c r="C77" s="31" t="s">
        <v>93</v>
      </c>
      <c r="D77" s="31" t="s">
        <v>94</v>
      </c>
      <c r="E77" s="31">
        <v>10237</v>
      </c>
      <c r="F77" s="31">
        <v>0</v>
      </c>
      <c r="G77" s="31">
        <v>10237</v>
      </c>
      <c r="H77" s="31">
        <v>10237</v>
      </c>
      <c r="I77" s="31">
        <v>0</v>
      </c>
      <c r="J77" s="31" t="s">
        <v>95</v>
      </c>
    </row>
    <row r="78" spans="1:10" s="31" customFormat="1" x14ac:dyDescent="0.4">
      <c r="A78" s="38">
        <v>43890</v>
      </c>
      <c r="B78" s="31" t="s">
        <v>181</v>
      </c>
      <c r="C78" s="31" t="s">
        <v>93</v>
      </c>
      <c r="D78" s="31" t="s">
        <v>94</v>
      </c>
      <c r="E78" s="31">
        <v>990</v>
      </c>
      <c r="F78" s="31">
        <v>0</v>
      </c>
      <c r="G78" s="31">
        <v>990</v>
      </c>
      <c r="H78" s="31">
        <v>990</v>
      </c>
      <c r="I78" s="31">
        <v>0</v>
      </c>
      <c r="J78" s="31" t="s">
        <v>95</v>
      </c>
    </row>
    <row r="79" spans="1:10" s="31" customFormat="1" x14ac:dyDescent="0.4">
      <c r="A79" s="38">
        <v>43890</v>
      </c>
      <c r="B79" s="31" t="s">
        <v>92</v>
      </c>
      <c r="C79" s="31" t="s">
        <v>93</v>
      </c>
      <c r="D79" s="31" t="s">
        <v>94</v>
      </c>
      <c r="E79" s="31">
        <v>470</v>
      </c>
      <c r="F79" s="31">
        <v>0</v>
      </c>
      <c r="G79" s="31">
        <v>470</v>
      </c>
      <c r="H79" s="31">
        <v>470</v>
      </c>
      <c r="I79" s="31">
        <v>0</v>
      </c>
      <c r="J79" s="31" t="s">
        <v>95</v>
      </c>
    </row>
    <row r="80" spans="1:10" s="31" customFormat="1" x14ac:dyDescent="0.4">
      <c r="A80" s="38">
        <v>43890</v>
      </c>
      <c r="B80" s="31" t="s">
        <v>92</v>
      </c>
      <c r="C80" s="31" t="s">
        <v>93</v>
      </c>
      <c r="D80" s="31" t="s">
        <v>94</v>
      </c>
      <c r="E80" s="31">
        <v>470</v>
      </c>
      <c r="F80" s="31">
        <v>0</v>
      </c>
      <c r="G80" s="31">
        <v>470</v>
      </c>
      <c r="H80" s="31">
        <v>470</v>
      </c>
      <c r="I80" s="31">
        <v>0</v>
      </c>
      <c r="J80" s="31" t="s">
        <v>95</v>
      </c>
    </row>
    <row r="81" spans="1:10" s="31" customFormat="1" x14ac:dyDescent="0.4">
      <c r="A81" s="38">
        <v>43890</v>
      </c>
      <c r="B81" s="31" t="s">
        <v>92</v>
      </c>
      <c r="C81" s="31" t="s">
        <v>93</v>
      </c>
      <c r="D81" s="31" t="s">
        <v>94</v>
      </c>
      <c r="E81" s="31">
        <v>470</v>
      </c>
      <c r="F81" s="31">
        <v>0</v>
      </c>
      <c r="G81" s="31">
        <v>470</v>
      </c>
      <c r="H81" s="31">
        <v>470</v>
      </c>
      <c r="I81" s="31">
        <v>0</v>
      </c>
      <c r="J81" s="31" t="s">
        <v>95</v>
      </c>
    </row>
    <row r="82" spans="1:10" s="31" customFormat="1" x14ac:dyDescent="0.4">
      <c r="A82" s="38">
        <v>43890</v>
      </c>
      <c r="B82" s="31" t="s">
        <v>92</v>
      </c>
      <c r="C82" s="31" t="s">
        <v>93</v>
      </c>
      <c r="D82" s="31" t="s">
        <v>94</v>
      </c>
      <c r="E82" s="31">
        <v>470</v>
      </c>
      <c r="F82" s="31">
        <v>0</v>
      </c>
      <c r="G82" s="31">
        <v>470</v>
      </c>
      <c r="H82" s="31">
        <v>470</v>
      </c>
      <c r="I82" s="31">
        <v>0</v>
      </c>
      <c r="J82" s="31" t="s">
        <v>95</v>
      </c>
    </row>
    <row r="83" spans="1:10" s="31" customFormat="1" x14ac:dyDescent="0.4">
      <c r="A83" s="38">
        <v>43890</v>
      </c>
      <c r="B83" s="31" t="s">
        <v>92</v>
      </c>
      <c r="C83" s="31" t="s">
        <v>93</v>
      </c>
      <c r="D83" s="31" t="s">
        <v>94</v>
      </c>
      <c r="E83" s="31">
        <v>470</v>
      </c>
      <c r="F83" s="31">
        <v>0</v>
      </c>
      <c r="G83" s="31">
        <v>470</v>
      </c>
      <c r="H83" s="31">
        <v>470</v>
      </c>
      <c r="I83" s="31">
        <v>0</v>
      </c>
      <c r="J83" s="31" t="s">
        <v>95</v>
      </c>
    </row>
    <row r="84" spans="1:10" s="31" customFormat="1" x14ac:dyDescent="0.4">
      <c r="A84" s="38">
        <v>43890</v>
      </c>
      <c r="B84" s="31" t="s">
        <v>92</v>
      </c>
      <c r="C84" s="31" t="s">
        <v>93</v>
      </c>
      <c r="D84" s="31" t="s">
        <v>94</v>
      </c>
      <c r="E84" s="31">
        <v>470</v>
      </c>
      <c r="F84" s="31">
        <v>0</v>
      </c>
      <c r="G84" s="31">
        <v>470</v>
      </c>
      <c r="H84" s="31">
        <v>470</v>
      </c>
      <c r="I84" s="31">
        <v>0</v>
      </c>
      <c r="J84" s="31" t="s">
        <v>95</v>
      </c>
    </row>
    <row r="85" spans="1:10" s="31" customFormat="1" x14ac:dyDescent="0.4">
      <c r="A85" s="38">
        <v>43890</v>
      </c>
      <c r="B85" s="31" t="s">
        <v>92</v>
      </c>
      <c r="C85" s="31" t="s">
        <v>93</v>
      </c>
      <c r="D85" s="31" t="s">
        <v>94</v>
      </c>
      <c r="E85" s="31">
        <v>470</v>
      </c>
      <c r="F85" s="31">
        <v>0</v>
      </c>
      <c r="G85" s="31">
        <v>470</v>
      </c>
      <c r="H85" s="31">
        <v>470</v>
      </c>
      <c r="I85" s="31">
        <v>0</v>
      </c>
      <c r="J85" s="31" t="s">
        <v>95</v>
      </c>
    </row>
    <row r="86" spans="1:10" s="31" customFormat="1" x14ac:dyDescent="0.4">
      <c r="A86" s="38">
        <v>43890</v>
      </c>
      <c r="B86" s="31" t="s">
        <v>92</v>
      </c>
      <c r="C86" s="31" t="s">
        <v>93</v>
      </c>
      <c r="D86" s="31" t="s">
        <v>94</v>
      </c>
      <c r="E86" s="31">
        <v>300</v>
      </c>
      <c r="F86" s="31">
        <v>0</v>
      </c>
      <c r="G86" s="31">
        <v>300</v>
      </c>
      <c r="H86" s="31">
        <v>300</v>
      </c>
      <c r="I86" s="31">
        <v>0</v>
      </c>
      <c r="J86" s="31" t="s">
        <v>95</v>
      </c>
    </row>
    <row r="87" spans="1:10" s="31" customFormat="1" x14ac:dyDescent="0.4">
      <c r="A87" s="38">
        <v>43890</v>
      </c>
      <c r="B87" s="31" t="s">
        <v>92</v>
      </c>
      <c r="C87" s="31" t="s">
        <v>93</v>
      </c>
      <c r="D87" s="31" t="s">
        <v>94</v>
      </c>
      <c r="E87" s="31">
        <v>470</v>
      </c>
      <c r="F87" s="31">
        <v>0</v>
      </c>
      <c r="G87" s="31">
        <v>470</v>
      </c>
      <c r="H87" s="31">
        <v>470</v>
      </c>
      <c r="I87" s="31">
        <v>0</v>
      </c>
      <c r="J87" s="31" t="s">
        <v>95</v>
      </c>
    </row>
    <row r="88" spans="1:10" s="31" customFormat="1" x14ac:dyDescent="0.4">
      <c r="A88" s="38">
        <v>43890</v>
      </c>
      <c r="B88" s="31" t="s">
        <v>92</v>
      </c>
      <c r="C88" s="31" t="s">
        <v>93</v>
      </c>
      <c r="D88" s="31" t="s">
        <v>94</v>
      </c>
      <c r="E88" s="31">
        <v>470</v>
      </c>
      <c r="F88" s="31">
        <v>0</v>
      </c>
      <c r="G88" s="31">
        <v>470</v>
      </c>
      <c r="H88" s="31">
        <v>470</v>
      </c>
      <c r="I88" s="31">
        <v>0</v>
      </c>
      <c r="J88" s="31" t="s">
        <v>95</v>
      </c>
    </row>
    <row r="89" spans="1:10" s="31" customFormat="1" x14ac:dyDescent="0.4">
      <c r="A89" s="38">
        <v>43890</v>
      </c>
      <c r="B89" s="31" t="s">
        <v>92</v>
      </c>
      <c r="C89" s="31" t="s">
        <v>93</v>
      </c>
      <c r="D89" s="31" t="s">
        <v>94</v>
      </c>
      <c r="E89" s="31">
        <v>300</v>
      </c>
      <c r="F89" s="31">
        <v>0</v>
      </c>
      <c r="G89" s="31">
        <v>300</v>
      </c>
      <c r="H89" s="31">
        <v>300</v>
      </c>
      <c r="I89" s="31">
        <v>0</v>
      </c>
      <c r="J89" s="31" t="s">
        <v>95</v>
      </c>
    </row>
    <row r="90" spans="1:10" s="31" customFormat="1" x14ac:dyDescent="0.4">
      <c r="A90" s="38">
        <v>43890</v>
      </c>
      <c r="B90" s="31" t="s">
        <v>92</v>
      </c>
      <c r="C90" s="31" t="s">
        <v>93</v>
      </c>
      <c r="D90" s="31" t="s">
        <v>94</v>
      </c>
      <c r="E90" s="31">
        <v>470</v>
      </c>
      <c r="F90" s="31">
        <v>0</v>
      </c>
      <c r="G90" s="31">
        <v>470</v>
      </c>
      <c r="H90" s="31">
        <v>470</v>
      </c>
      <c r="I90" s="31">
        <v>0</v>
      </c>
      <c r="J90" s="31" t="s">
        <v>95</v>
      </c>
    </row>
    <row r="91" spans="1:10" s="31" customFormat="1" x14ac:dyDescent="0.4">
      <c r="A91" s="38">
        <v>43890</v>
      </c>
      <c r="B91" s="31" t="s">
        <v>92</v>
      </c>
      <c r="C91" s="31" t="s">
        <v>93</v>
      </c>
      <c r="D91" s="31" t="s">
        <v>94</v>
      </c>
      <c r="E91" s="31">
        <v>300</v>
      </c>
      <c r="F91" s="31">
        <v>0</v>
      </c>
      <c r="G91" s="31">
        <v>300</v>
      </c>
      <c r="H91" s="31">
        <v>300</v>
      </c>
      <c r="I91" s="31">
        <v>0</v>
      </c>
      <c r="J91" s="31" t="s">
        <v>95</v>
      </c>
    </row>
    <row r="92" spans="1:10" s="31" customFormat="1" x14ac:dyDescent="0.4">
      <c r="A92" s="38">
        <v>43890</v>
      </c>
      <c r="B92" s="31" t="s">
        <v>92</v>
      </c>
      <c r="C92" s="31" t="s">
        <v>93</v>
      </c>
      <c r="D92" s="31" t="s">
        <v>94</v>
      </c>
      <c r="E92" s="31">
        <v>470</v>
      </c>
      <c r="F92" s="31">
        <v>0</v>
      </c>
      <c r="G92" s="31">
        <v>470</v>
      </c>
      <c r="H92" s="31">
        <v>470</v>
      </c>
      <c r="I92" s="31">
        <v>0</v>
      </c>
      <c r="J92" s="31" t="s">
        <v>95</v>
      </c>
    </row>
    <row r="93" spans="1:10" s="31" customFormat="1" x14ac:dyDescent="0.4">
      <c r="A93" s="38">
        <v>43890</v>
      </c>
      <c r="B93" s="31" t="s">
        <v>92</v>
      </c>
      <c r="C93" s="31" t="s">
        <v>93</v>
      </c>
      <c r="D93" s="31" t="s">
        <v>94</v>
      </c>
      <c r="E93" s="31">
        <v>470</v>
      </c>
      <c r="F93" s="31">
        <v>0</v>
      </c>
      <c r="G93" s="31">
        <v>470</v>
      </c>
      <c r="H93" s="31">
        <v>470</v>
      </c>
      <c r="I93" s="31">
        <v>0</v>
      </c>
      <c r="J93" s="31" t="s">
        <v>95</v>
      </c>
    </row>
    <row r="94" spans="1:10" s="31" customFormat="1" x14ac:dyDescent="0.4">
      <c r="A94" s="38">
        <v>43890</v>
      </c>
      <c r="B94" s="31" t="s">
        <v>92</v>
      </c>
      <c r="C94" s="31" t="s">
        <v>93</v>
      </c>
      <c r="D94" s="31" t="s">
        <v>94</v>
      </c>
      <c r="E94" s="31">
        <v>470</v>
      </c>
      <c r="F94" s="31">
        <v>0</v>
      </c>
      <c r="G94" s="31">
        <v>470</v>
      </c>
      <c r="H94" s="31">
        <v>470</v>
      </c>
      <c r="I94" s="31">
        <v>0</v>
      </c>
      <c r="J94" s="31" t="s">
        <v>95</v>
      </c>
    </row>
    <row r="95" spans="1:10" s="31" customFormat="1" x14ac:dyDescent="0.4">
      <c r="A95" s="38">
        <v>43890</v>
      </c>
      <c r="B95" s="31" t="s">
        <v>92</v>
      </c>
      <c r="C95" s="31" t="s">
        <v>93</v>
      </c>
      <c r="D95" s="31" t="s">
        <v>94</v>
      </c>
      <c r="E95" s="31">
        <v>470</v>
      </c>
      <c r="F95" s="31">
        <v>0</v>
      </c>
      <c r="G95" s="31">
        <v>470</v>
      </c>
      <c r="H95" s="31">
        <v>470</v>
      </c>
      <c r="I95" s="31">
        <v>0</v>
      </c>
      <c r="J95" s="31" t="s">
        <v>95</v>
      </c>
    </row>
    <row r="96" spans="1:10" s="31" customFormat="1" x14ac:dyDescent="0.4">
      <c r="A96" s="38">
        <v>43885</v>
      </c>
      <c r="B96" s="31" t="s">
        <v>114</v>
      </c>
      <c r="C96" s="31" t="s">
        <v>93</v>
      </c>
      <c r="D96" s="31" t="s">
        <v>94</v>
      </c>
      <c r="E96" s="31">
        <v>1376</v>
      </c>
      <c r="F96" s="31">
        <v>0</v>
      </c>
      <c r="G96" s="31">
        <v>1376</v>
      </c>
      <c r="H96" s="31">
        <v>1376</v>
      </c>
      <c r="I96" s="31">
        <v>0</v>
      </c>
      <c r="J96" s="31" t="s">
        <v>95</v>
      </c>
    </row>
    <row r="97" spans="1:10" s="31" customFormat="1" x14ac:dyDescent="0.4">
      <c r="A97" s="38">
        <v>43883</v>
      </c>
      <c r="B97" s="31" t="s">
        <v>97</v>
      </c>
      <c r="C97" s="31" t="s">
        <v>93</v>
      </c>
      <c r="D97" s="31" t="s">
        <v>94</v>
      </c>
      <c r="E97" s="31">
        <v>1514</v>
      </c>
      <c r="F97" s="31">
        <v>0</v>
      </c>
      <c r="G97" s="31">
        <v>1514</v>
      </c>
      <c r="H97" s="31">
        <v>1514</v>
      </c>
      <c r="I97" s="31">
        <v>0</v>
      </c>
      <c r="J97" s="31" t="s">
        <v>95</v>
      </c>
    </row>
    <row r="98" spans="1:10" s="31" customFormat="1" x14ac:dyDescent="0.4">
      <c r="A98" s="38">
        <v>43882</v>
      </c>
      <c r="B98" s="31" t="s">
        <v>108</v>
      </c>
      <c r="C98" s="31" t="s">
        <v>93</v>
      </c>
      <c r="D98" s="31" t="s">
        <v>94</v>
      </c>
      <c r="E98" s="31">
        <v>8668</v>
      </c>
      <c r="F98" s="31">
        <v>0</v>
      </c>
      <c r="G98" s="31">
        <v>8668</v>
      </c>
      <c r="H98" s="31">
        <v>8668</v>
      </c>
      <c r="I98" s="31">
        <v>0</v>
      </c>
      <c r="J98" s="31" t="s">
        <v>95</v>
      </c>
    </row>
    <row r="99" spans="1:10" s="31" customFormat="1" x14ac:dyDescent="0.4">
      <c r="A99" s="38">
        <v>43877</v>
      </c>
      <c r="B99" s="31" t="s">
        <v>182</v>
      </c>
      <c r="C99" s="31" t="s">
        <v>93</v>
      </c>
      <c r="D99" s="31" t="s">
        <v>94</v>
      </c>
      <c r="E99" s="31">
        <v>935</v>
      </c>
      <c r="F99" s="31">
        <v>0</v>
      </c>
      <c r="G99" s="31">
        <v>935</v>
      </c>
      <c r="H99" s="31">
        <v>935</v>
      </c>
      <c r="I99" s="31">
        <v>0</v>
      </c>
      <c r="J99" s="31" t="s">
        <v>95</v>
      </c>
    </row>
    <row r="100" spans="1:10" s="31" customFormat="1" x14ac:dyDescent="0.4">
      <c r="A100" s="38">
        <v>43876</v>
      </c>
      <c r="B100" s="31" t="s">
        <v>183</v>
      </c>
      <c r="C100" s="31" t="s">
        <v>93</v>
      </c>
      <c r="D100" s="31" t="s">
        <v>94</v>
      </c>
      <c r="E100" s="31">
        <v>17279</v>
      </c>
      <c r="F100" s="31">
        <v>0</v>
      </c>
      <c r="G100" s="31">
        <v>17279</v>
      </c>
      <c r="H100" s="31">
        <v>17279</v>
      </c>
      <c r="I100" s="31">
        <v>0</v>
      </c>
      <c r="J100" s="31" t="s">
        <v>95</v>
      </c>
    </row>
    <row r="101" spans="1:10" s="31" customFormat="1" x14ac:dyDescent="0.4">
      <c r="A101" s="38">
        <v>43873</v>
      </c>
      <c r="B101" s="31" t="s">
        <v>112</v>
      </c>
      <c r="C101" s="31" t="s">
        <v>93</v>
      </c>
      <c r="D101" s="31" t="s">
        <v>94</v>
      </c>
      <c r="E101" s="31">
        <v>3420</v>
      </c>
      <c r="F101" s="31">
        <v>0</v>
      </c>
      <c r="G101" s="31">
        <v>3420</v>
      </c>
      <c r="H101" s="31">
        <v>3420</v>
      </c>
      <c r="I101" s="31">
        <v>0</v>
      </c>
      <c r="J101" s="31" t="s">
        <v>95</v>
      </c>
    </row>
    <row r="102" spans="1:10" s="31" customFormat="1" x14ac:dyDescent="0.4">
      <c r="A102" s="38">
        <v>43872</v>
      </c>
      <c r="B102" s="31" t="s">
        <v>97</v>
      </c>
      <c r="C102" s="31" t="s">
        <v>93</v>
      </c>
      <c r="D102" s="31" t="s">
        <v>94</v>
      </c>
      <c r="E102" s="31">
        <v>1643</v>
      </c>
      <c r="F102" s="31">
        <v>0</v>
      </c>
      <c r="G102" s="31">
        <v>1643</v>
      </c>
      <c r="H102" s="31">
        <v>1643</v>
      </c>
      <c r="I102" s="31">
        <v>0</v>
      </c>
      <c r="J102" s="31" t="s">
        <v>95</v>
      </c>
    </row>
    <row r="103" spans="1:10" s="31" customFormat="1" x14ac:dyDescent="0.4">
      <c r="A103" s="38">
        <v>43872</v>
      </c>
      <c r="B103" s="31" t="s">
        <v>184</v>
      </c>
      <c r="C103" s="31" t="s">
        <v>93</v>
      </c>
      <c r="D103" s="31" t="s">
        <v>94</v>
      </c>
      <c r="E103" s="31">
        <v>850</v>
      </c>
      <c r="F103" s="31">
        <v>0</v>
      </c>
      <c r="G103" s="31">
        <v>850</v>
      </c>
      <c r="H103" s="31">
        <v>850</v>
      </c>
      <c r="I103" s="31">
        <v>0</v>
      </c>
      <c r="J103" s="31" t="s">
        <v>95</v>
      </c>
    </row>
    <row r="104" spans="1:10" s="31" customFormat="1" x14ac:dyDescent="0.4">
      <c r="A104" s="38">
        <v>43871</v>
      </c>
      <c r="B104" s="31" t="s">
        <v>185</v>
      </c>
      <c r="C104" s="31" t="s">
        <v>93</v>
      </c>
      <c r="D104" s="31" t="s">
        <v>94</v>
      </c>
      <c r="E104" s="31">
        <v>10480</v>
      </c>
      <c r="F104" s="31">
        <v>0</v>
      </c>
      <c r="G104" s="31">
        <v>10480</v>
      </c>
      <c r="H104" s="31">
        <v>10480</v>
      </c>
      <c r="I104" s="31">
        <v>0</v>
      </c>
      <c r="J104" s="31" t="s">
        <v>95</v>
      </c>
    </row>
    <row r="105" spans="1:10" s="31" customFormat="1" x14ac:dyDescent="0.4">
      <c r="A105" s="38">
        <v>43871</v>
      </c>
      <c r="B105" s="31" t="s">
        <v>96</v>
      </c>
      <c r="C105" s="31" t="s">
        <v>93</v>
      </c>
      <c r="D105" s="31" t="s">
        <v>94</v>
      </c>
      <c r="E105" s="31">
        <v>6536</v>
      </c>
      <c r="F105" s="31">
        <v>0</v>
      </c>
      <c r="G105" s="31">
        <v>6536</v>
      </c>
      <c r="H105" s="31">
        <v>6536</v>
      </c>
      <c r="I105" s="31">
        <v>0</v>
      </c>
      <c r="J105" s="31" t="s">
        <v>95</v>
      </c>
    </row>
    <row r="106" spans="1:10" s="31" customFormat="1" x14ac:dyDescent="0.4">
      <c r="A106" s="38">
        <v>43870</v>
      </c>
      <c r="B106" s="31" t="s">
        <v>114</v>
      </c>
      <c r="C106" s="31" t="s">
        <v>93</v>
      </c>
      <c r="D106" s="31" t="s">
        <v>94</v>
      </c>
      <c r="E106" s="31">
        <v>1515</v>
      </c>
      <c r="F106" s="31">
        <v>0</v>
      </c>
      <c r="G106" s="31">
        <v>1515</v>
      </c>
      <c r="H106" s="31">
        <v>1515</v>
      </c>
      <c r="I106" s="31">
        <v>0</v>
      </c>
      <c r="J106" s="31" t="s">
        <v>95</v>
      </c>
    </row>
    <row r="107" spans="1:10" s="31" customFormat="1" x14ac:dyDescent="0.4">
      <c r="A107" s="38">
        <v>43869</v>
      </c>
      <c r="B107" s="31" t="s">
        <v>186</v>
      </c>
      <c r="C107" s="31" t="s">
        <v>93</v>
      </c>
      <c r="D107" s="31" t="s">
        <v>94</v>
      </c>
      <c r="E107" s="31">
        <v>3960</v>
      </c>
      <c r="F107" s="31">
        <v>0</v>
      </c>
      <c r="G107" s="31">
        <v>3960</v>
      </c>
      <c r="H107" s="31">
        <v>3960</v>
      </c>
      <c r="I107" s="31">
        <v>0</v>
      </c>
      <c r="J107" s="31" t="s">
        <v>95</v>
      </c>
    </row>
    <row r="108" spans="1:10" s="31" customFormat="1" x14ac:dyDescent="0.4">
      <c r="A108" s="38">
        <v>43869</v>
      </c>
      <c r="B108" s="31" t="s">
        <v>97</v>
      </c>
      <c r="C108" s="31" t="s">
        <v>93</v>
      </c>
      <c r="D108" s="31" t="s">
        <v>94</v>
      </c>
      <c r="E108" s="31">
        <v>7727</v>
      </c>
      <c r="F108" s="31">
        <v>0</v>
      </c>
      <c r="G108" s="31">
        <v>7727</v>
      </c>
      <c r="H108" s="31">
        <v>7727</v>
      </c>
      <c r="I108" s="31">
        <v>0</v>
      </c>
      <c r="J108" s="31" t="s">
        <v>95</v>
      </c>
    </row>
    <row r="109" spans="1:10" s="31" customFormat="1" x14ac:dyDescent="0.4">
      <c r="A109" s="38">
        <v>43868</v>
      </c>
      <c r="B109" s="31" t="s">
        <v>98</v>
      </c>
      <c r="C109" s="31" t="s">
        <v>93</v>
      </c>
      <c r="D109" s="31" t="s">
        <v>94</v>
      </c>
      <c r="E109" s="31">
        <v>11400</v>
      </c>
      <c r="F109" s="31">
        <v>0</v>
      </c>
      <c r="G109" s="31">
        <v>11400</v>
      </c>
      <c r="H109" s="31">
        <v>11400</v>
      </c>
      <c r="I109" s="31">
        <v>0</v>
      </c>
      <c r="J109" s="31" t="s">
        <v>95</v>
      </c>
    </row>
    <row r="110" spans="1:10" s="31" customFormat="1" x14ac:dyDescent="0.4">
      <c r="A110" s="38">
        <v>43868</v>
      </c>
      <c r="B110" s="31" t="s">
        <v>187</v>
      </c>
      <c r="C110" s="31" t="s">
        <v>93</v>
      </c>
      <c r="D110" s="31" t="s">
        <v>94</v>
      </c>
      <c r="E110" s="31">
        <v>1639</v>
      </c>
      <c r="F110" s="31">
        <v>0</v>
      </c>
      <c r="G110" s="31">
        <v>1639</v>
      </c>
      <c r="H110" s="31">
        <v>1639</v>
      </c>
      <c r="I110" s="31">
        <v>0</v>
      </c>
      <c r="J110" s="31" t="s">
        <v>95</v>
      </c>
    </row>
    <row r="111" spans="1:10" s="31" customFormat="1" x14ac:dyDescent="0.4">
      <c r="A111" s="38">
        <v>43867</v>
      </c>
      <c r="B111" s="31" t="s">
        <v>188</v>
      </c>
      <c r="C111" s="31" t="s">
        <v>93</v>
      </c>
      <c r="D111" s="31" t="s">
        <v>94</v>
      </c>
      <c r="E111" s="31">
        <v>16078</v>
      </c>
      <c r="F111" s="31">
        <v>0</v>
      </c>
      <c r="G111" s="31">
        <v>16078</v>
      </c>
      <c r="H111" s="31">
        <v>16078</v>
      </c>
      <c r="I111" s="31">
        <v>0</v>
      </c>
      <c r="J111" s="31" t="s">
        <v>95</v>
      </c>
    </row>
    <row r="112" spans="1:10" s="31" customFormat="1" x14ac:dyDescent="0.4">
      <c r="A112" s="38">
        <v>43863</v>
      </c>
      <c r="B112" s="31" t="s">
        <v>117</v>
      </c>
      <c r="C112" s="31" t="s">
        <v>93</v>
      </c>
      <c r="D112" s="31" t="s">
        <v>94</v>
      </c>
      <c r="E112" s="31">
        <v>748</v>
      </c>
      <c r="F112" s="31">
        <v>0</v>
      </c>
      <c r="G112" s="31">
        <v>748</v>
      </c>
      <c r="H112" s="31">
        <v>748</v>
      </c>
      <c r="I112" s="31">
        <v>0</v>
      </c>
      <c r="J112" s="31" t="s">
        <v>95</v>
      </c>
    </row>
    <row r="113" spans="1:10" s="31" customFormat="1" x14ac:dyDescent="0.4">
      <c r="A113" s="38">
        <v>43863</v>
      </c>
      <c r="B113" s="31" t="s">
        <v>189</v>
      </c>
      <c r="C113" s="31" t="s">
        <v>93</v>
      </c>
      <c r="D113" s="31" t="s">
        <v>94</v>
      </c>
      <c r="E113" s="31">
        <v>1628</v>
      </c>
      <c r="F113" s="31">
        <v>0</v>
      </c>
      <c r="G113" s="31">
        <v>1628</v>
      </c>
      <c r="H113" s="31">
        <v>1628</v>
      </c>
      <c r="I113" s="31">
        <v>0</v>
      </c>
      <c r="J113" s="31" t="s">
        <v>95</v>
      </c>
    </row>
    <row r="114" spans="1:10" s="31" customFormat="1" x14ac:dyDescent="0.4">
      <c r="A114" s="38">
        <v>43858</v>
      </c>
      <c r="B114" s="31" t="s">
        <v>190</v>
      </c>
      <c r="C114" s="31" t="s">
        <v>93</v>
      </c>
      <c r="D114" s="31" t="s">
        <v>94</v>
      </c>
      <c r="E114" s="31">
        <v>14059</v>
      </c>
      <c r="F114" s="31">
        <v>0</v>
      </c>
      <c r="G114" s="31">
        <v>14059</v>
      </c>
      <c r="H114" s="31">
        <v>14059</v>
      </c>
      <c r="I114" s="31">
        <v>0</v>
      </c>
      <c r="J114" s="31" t="s">
        <v>95</v>
      </c>
    </row>
    <row r="115" spans="1:10" s="31" customFormat="1" x14ac:dyDescent="0.4">
      <c r="A115" s="38">
        <v>43921</v>
      </c>
      <c r="B115" s="31" t="s">
        <v>92</v>
      </c>
      <c r="C115" s="31" t="s">
        <v>93</v>
      </c>
      <c r="D115" s="31" t="s">
        <v>94</v>
      </c>
      <c r="E115" s="31">
        <v>470</v>
      </c>
      <c r="F115" s="31">
        <v>0</v>
      </c>
      <c r="G115" s="31">
        <v>470</v>
      </c>
      <c r="H115" s="31">
        <v>470</v>
      </c>
      <c r="I115" s="31">
        <v>0</v>
      </c>
      <c r="J115" s="31" t="s">
        <v>95</v>
      </c>
    </row>
    <row r="116" spans="1:10" s="31" customFormat="1" x14ac:dyDescent="0.4">
      <c r="A116" s="38">
        <v>43911</v>
      </c>
      <c r="B116" s="31" t="s">
        <v>114</v>
      </c>
      <c r="C116" s="31" t="s">
        <v>93</v>
      </c>
      <c r="D116" s="31" t="s">
        <v>94</v>
      </c>
      <c r="E116" s="31">
        <v>4825</v>
      </c>
      <c r="F116" s="31">
        <v>0</v>
      </c>
      <c r="G116" s="31">
        <v>4825</v>
      </c>
      <c r="H116" s="31">
        <v>4825</v>
      </c>
      <c r="I116" s="31">
        <v>0</v>
      </c>
      <c r="J116" s="31" t="s">
        <v>95</v>
      </c>
    </row>
    <row r="117" spans="1:10" s="31" customFormat="1" x14ac:dyDescent="0.4">
      <c r="A117" s="38">
        <v>43910</v>
      </c>
      <c r="B117" s="31" t="s">
        <v>191</v>
      </c>
      <c r="C117" s="31" t="s">
        <v>93</v>
      </c>
      <c r="D117" s="31" t="s">
        <v>94</v>
      </c>
      <c r="E117" s="31">
        <v>1366</v>
      </c>
      <c r="F117" s="31">
        <v>0</v>
      </c>
      <c r="G117" s="31">
        <v>1366</v>
      </c>
      <c r="H117" s="31">
        <v>1366</v>
      </c>
      <c r="I117" s="31">
        <v>0</v>
      </c>
      <c r="J117" s="31" t="s">
        <v>95</v>
      </c>
    </row>
    <row r="118" spans="1:10" s="31" customFormat="1" x14ac:dyDescent="0.4">
      <c r="A118" s="38">
        <v>43905</v>
      </c>
      <c r="B118" s="31" t="s">
        <v>192</v>
      </c>
      <c r="C118" s="31" t="s">
        <v>93</v>
      </c>
      <c r="D118" s="31" t="s">
        <v>94</v>
      </c>
      <c r="E118" s="31">
        <v>17191</v>
      </c>
      <c r="F118" s="31">
        <v>0</v>
      </c>
      <c r="G118" s="31">
        <v>17191</v>
      </c>
      <c r="H118" s="31">
        <v>17191</v>
      </c>
      <c r="I118" s="31">
        <v>0</v>
      </c>
      <c r="J118" s="31" t="s">
        <v>95</v>
      </c>
    </row>
    <row r="119" spans="1:10" s="31" customFormat="1" x14ac:dyDescent="0.4">
      <c r="A119" s="38">
        <v>43905</v>
      </c>
      <c r="B119" s="31" t="s">
        <v>96</v>
      </c>
      <c r="C119" s="31" t="s">
        <v>93</v>
      </c>
      <c r="D119" s="31" t="s">
        <v>94</v>
      </c>
      <c r="E119" s="31">
        <v>880</v>
      </c>
      <c r="F119" s="31">
        <v>0</v>
      </c>
      <c r="G119" s="31">
        <v>880</v>
      </c>
      <c r="H119" s="31">
        <v>880</v>
      </c>
      <c r="I119" s="31">
        <v>0</v>
      </c>
      <c r="J119" s="31" t="s">
        <v>95</v>
      </c>
    </row>
    <row r="120" spans="1:10" s="31" customFormat="1" x14ac:dyDescent="0.4">
      <c r="A120" s="38">
        <v>43905</v>
      </c>
      <c r="B120" s="31" t="s">
        <v>96</v>
      </c>
      <c r="C120" s="31" t="s">
        <v>93</v>
      </c>
      <c r="D120" s="31" t="s">
        <v>94</v>
      </c>
      <c r="E120" s="31">
        <v>2499</v>
      </c>
      <c r="F120" s="31">
        <v>0</v>
      </c>
      <c r="G120" s="31">
        <v>2499</v>
      </c>
      <c r="H120" s="31">
        <v>2499</v>
      </c>
      <c r="I120" s="31">
        <v>0</v>
      </c>
      <c r="J120" s="31" t="s">
        <v>95</v>
      </c>
    </row>
    <row r="121" spans="1:10" s="31" customFormat="1" x14ac:dyDescent="0.4">
      <c r="A121" s="38">
        <v>43904</v>
      </c>
      <c r="B121" s="31" t="s">
        <v>96</v>
      </c>
      <c r="C121" s="31" t="s">
        <v>93</v>
      </c>
      <c r="D121" s="31" t="s">
        <v>94</v>
      </c>
      <c r="E121" s="31">
        <v>5711</v>
      </c>
      <c r="F121" s="31">
        <v>0</v>
      </c>
      <c r="G121" s="31">
        <v>5711</v>
      </c>
      <c r="H121" s="31">
        <v>5711</v>
      </c>
      <c r="I121" s="31">
        <v>0</v>
      </c>
      <c r="J121" s="31" t="s">
        <v>95</v>
      </c>
    </row>
    <row r="122" spans="1:10" s="31" customFormat="1" x14ac:dyDescent="0.4">
      <c r="A122" s="38">
        <v>43901</v>
      </c>
      <c r="B122" s="31" t="s">
        <v>112</v>
      </c>
      <c r="C122" s="31" t="s">
        <v>93</v>
      </c>
      <c r="D122" s="31" t="s">
        <v>94</v>
      </c>
      <c r="E122" s="31">
        <v>3420</v>
      </c>
      <c r="F122" s="31">
        <v>0</v>
      </c>
      <c r="G122" s="31">
        <v>3420</v>
      </c>
      <c r="H122" s="31">
        <v>3420</v>
      </c>
      <c r="I122" s="31">
        <v>0</v>
      </c>
      <c r="J122" s="31" t="s">
        <v>95</v>
      </c>
    </row>
    <row r="123" spans="1:10" s="31" customFormat="1" x14ac:dyDescent="0.4">
      <c r="A123" s="38">
        <v>43897</v>
      </c>
      <c r="B123" s="31" t="s">
        <v>96</v>
      </c>
      <c r="C123" s="31" t="s">
        <v>93</v>
      </c>
      <c r="D123" s="31" t="s">
        <v>94</v>
      </c>
      <c r="E123" s="31">
        <v>935</v>
      </c>
      <c r="F123" s="31">
        <v>0</v>
      </c>
      <c r="G123" s="31">
        <v>935</v>
      </c>
      <c r="H123" s="31">
        <v>935</v>
      </c>
      <c r="I123" s="31">
        <v>0</v>
      </c>
      <c r="J123" s="31" t="s">
        <v>95</v>
      </c>
    </row>
    <row r="124" spans="1:10" s="31" customFormat="1" x14ac:dyDescent="0.4">
      <c r="A124" s="38">
        <v>43896</v>
      </c>
      <c r="B124" s="31" t="s">
        <v>96</v>
      </c>
      <c r="C124" s="31" t="s">
        <v>93</v>
      </c>
      <c r="D124" s="31" t="s">
        <v>94</v>
      </c>
      <c r="E124" s="31">
        <v>935</v>
      </c>
      <c r="F124" s="31">
        <v>0</v>
      </c>
      <c r="G124" s="31">
        <v>935</v>
      </c>
      <c r="H124" s="31">
        <v>935</v>
      </c>
      <c r="I124" s="31">
        <v>0</v>
      </c>
      <c r="J124" s="31" t="s">
        <v>95</v>
      </c>
    </row>
    <row r="125" spans="1:10" s="31" customFormat="1" x14ac:dyDescent="0.4">
      <c r="A125" s="38">
        <v>43896</v>
      </c>
      <c r="B125" s="31" t="s">
        <v>193</v>
      </c>
      <c r="C125" s="31" t="s">
        <v>93</v>
      </c>
      <c r="D125" s="31" t="s">
        <v>94</v>
      </c>
      <c r="E125" s="31">
        <v>14788</v>
      </c>
      <c r="F125" s="31">
        <v>0</v>
      </c>
      <c r="G125" s="31">
        <v>14788</v>
      </c>
      <c r="H125" s="31">
        <v>14788</v>
      </c>
      <c r="I125" s="31">
        <v>0</v>
      </c>
      <c r="J125" s="31" t="s">
        <v>95</v>
      </c>
    </row>
    <row r="126" spans="1:10" s="31" customFormat="1" x14ac:dyDescent="0.4">
      <c r="A126" s="38">
        <v>43891</v>
      </c>
      <c r="B126" s="31" t="s">
        <v>117</v>
      </c>
      <c r="C126" s="31" t="s">
        <v>93</v>
      </c>
      <c r="D126" s="31" t="s">
        <v>94</v>
      </c>
      <c r="E126" s="31">
        <v>748</v>
      </c>
      <c r="F126" s="31">
        <v>0</v>
      </c>
      <c r="G126" s="31">
        <v>748</v>
      </c>
      <c r="H126" s="31">
        <v>748</v>
      </c>
      <c r="I126" s="31">
        <v>0</v>
      </c>
      <c r="J126" s="31" t="s">
        <v>95</v>
      </c>
    </row>
    <row r="127" spans="1:10" s="31" customFormat="1" x14ac:dyDescent="0.4">
      <c r="A127" s="38">
        <v>43887</v>
      </c>
      <c r="B127" s="31" t="s">
        <v>194</v>
      </c>
      <c r="C127" s="31" t="s">
        <v>93</v>
      </c>
      <c r="D127" s="31" t="s">
        <v>94</v>
      </c>
      <c r="E127" s="31">
        <v>549</v>
      </c>
      <c r="F127" s="31">
        <v>0</v>
      </c>
      <c r="G127" s="31">
        <v>549</v>
      </c>
      <c r="H127" s="31">
        <v>549</v>
      </c>
      <c r="I127" s="31">
        <v>0</v>
      </c>
      <c r="J127" s="31" t="s">
        <v>95</v>
      </c>
    </row>
    <row r="128" spans="1:10" s="31" customFormat="1" x14ac:dyDescent="0.4">
      <c r="A128" s="38">
        <v>43886</v>
      </c>
      <c r="B128" s="31" t="s">
        <v>195</v>
      </c>
      <c r="C128" s="31" t="s">
        <v>93</v>
      </c>
      <c r="D128" s="31" t="s">
        <v>94</v>
      </c>
      <c r="E128" s="31">
        <v>11141</v>
      </c>
      <c r="F128" s="31">
        <v>0</v>
      </c>
      <c r="G128" s="31">
        <v>11141</v>
      </c>
      <c r="H128" s="31">
        <v>11141</v>
      </c>
      <c r="I128" s="31">
        <v>0</v>
      </c>
      <c r="J128" s="31" t="s">
        <v>95</v>
      </c>
    </row>
    <row r="129" spans="1:10" s="31" customFormat="1" x14ac:dyDescent="0.4">
      <c r="A129" s="38">
        <v>43951</v>
      </c>
      <c r="B129" s="31" t="s">
        <v>96</v>
      </c>
      <c r="C129" s="31" t="s">
        <v>93</v>
      </c>
      <c r="D129" s="31" t="s">
        <v>94</v>
      </c>
      <c r="E129" s="31">
        <v>1210</v>
      </c>
      <c r="F129" s="31">
        <v>0</v>
      </c>
      <c r="G129" s="31">
        <v>1210</v>
      </c>
      <c r="H129" s="31">
        <v>1210</v>
      </c>
      <c r="I129" s="31">
        <v>0</v>
      </c>
      <c r="J129" s="31" t="s">
        <v>95</v>
      </c>
    </row>
    <row r="130" spans="1:10" s="31" customFormat="1" x14ac:dyDescent="0.4">
      <c r="A130" s="38">
        <v>43949</v>
      </c>
      <c r="B130" s="31" t="s">
        <v>96</v>
      </c>
      <c r="C130" s="31" t="s">
        <v>93</v>
      </c>
      <c r="D130" s="31" t="s">
        <v>94</v>
      </c>
      <c r="E130" s="31">
        <v>9130</v>
      </c>
      <c r="F130" s="31">
        <v>0</v>
      </c>
      <c r="G130" s="31">
        <v>9130</v>
      </c>
      <c r="H130" s="31">
        <v>9130</v>
      </c>
      <c r="I130" s="31">
        <v>0</v>
      </c>
      <c r="J130" s="31" t="s">
        <v>95</v>
      </c>
    </row>
    <row r="131" spans="1:10" s="31" customFormat="1" x14ac:dyDescent="0.4">
      <c r="A131" s="38">
        <v>43949</v>
      </c>
      <c r="B131" s="31" t="s">
        <v>96</v>
      </c>
      <c r="C131" s="31" t="s">
        <v>93</v>
      </c>
      <c r="D131" s="31" t="s">
        <v>94</v>
      </c>
      <c r="E131" s="31">
        <v>1643</v>
      </c>
      <c r="F131" s="31">
        <v>0</v>
      </c>
      <c r="G131" s="31">
        <v>1643</v>
      </c>
      <c r="H131" s="31">
        <v>1643</v>
      </c>
      <c r="I131" s="31">
        <v>0</v>
      </c>
      <c r="J131" s="31" t="s">
        <v>95</v>
      </c>
    </row>
    <row r="132" spans="1:10" s="31" customFormat="1" x14ac:dyDescent="0.4">
      <c r="A132" s="38">
        <v>43949</v>
      </c>
      <c r="B132" s="31" t="s">
        <v>96</v>
      </c>
      <c r="C132" s="31" t="s">
        <v>93</v>
      </c>
      <c r="D132" s="31" t="s">
        <v>94</v>
      </c>
      <c r="E132" s="31">
        <v>3280</v>
      </c>
      <c r="F132" s="31">
        <v>0</v>
      </c>
      <c r="G132" s="31">
        <v>3280</v>
      </c>
      <c r="H132" s="31">
        <v>3280</v>
      </c>
      <c r="I132" s="31">
        <v>0</v>
      </c>
      <c r="J132" s="31" t="s">
        <v>95</v>
      </c>
    </row>
    <row r="133" spans="1:10" s="31" customFormat="1" x14ac:dyDescent="0.4">
      <c r="A133" s="38">
        <v>43948</v>
      </c>
      <c r="B133" s="31" t="s">
        <v>96</v>
      </c>
      <c r="C133" s="31" t="s">
        <v>93</v>
      </c>
      <c r="D133" s="31" t="s">
        <v>94</v>
      </c>
      <c r="E133" s="31">
        <v>852</v>
      </c>
      <c r="F133" s="31">
        <v>0</v>
      </c>
      <c r="G133" s="31">
        <v>852</v>
      </c>
      <c r="H133" s="31">
        <v>852</v>
      </c>
      <c r="I133" s="31">
        <v>0</v>
      </c>
      <c r="J133" s="31" t="s">
        <v>95</v>
      </c>
    </row>
    <row r="134" spans="1:10" s="31" customFormat="1" x14ac:dyDescent="0.4">
      <c r="A134" s="38">
        <v>43946</v>
      </c>
      <c r="B134" s="31" t="s">
        <v>196</v>
      </c>
      <c r="C134" s="31" t="s">
        <v>93</v>
      </c>
      <c r="D134" s="31" t="s">
        <v>94</v>
      </c>
      <c r="E134" s="31">
        <v>400</v>
      </c>
      <c r="F134" s="31">
        <v>0</v>
      </c>
      <c r="G134" s="31">
        <v>400</v>
      </c>
      <c r="H134" s="31">
        <v>400</v>
      </c>
      <c r="I134" s="31">
        <v>0</v>
      </c>
      <c r="J134" s="31" t="s">
        <v>95</v>
      </c>
    </row>
    <row r="135" spans="1:10" s="31" customFormat="1" x14ac:dyDescent="0.4">
      <c r="A135" s="38">
        <v>43946</v>
      </c>
      <c r="B135" s="31" t="s">
        <v>196</v>
      </c>
      <c r="C135" s="31" t="s">
        <v>93</v>
      </c>
      <c r="D135" s="31" t="s">
        <v>94</v>
      </c>
      <c r="E135" s="31">
        <v>1325</v>
      </c>
      <c r="F135" s="31">
        <v>0</v>
      </c>
      <c r="G135" s="31">
        <v>1325</v>
      </c>
      <c r="H135" s="31">
        <v>1325</v>
      </c>
      <c r="I135" s="31">
        <v>0</v>
      </c>
      <c r="J135" s="31" t="s">
        <v>95</v>
      </c>
    </row>
    <row r="136" spans="1:10" s="31" customFormat="1" x14ac:dyDescent="0.4">
      <c r="A136" s="38">
        <v>43945</v>
      </c>
      <c r="B136" s="31" t="s">
        <v>96</v>
      </c>
      <c r="C136" s="31" t="s">
        <v>93</v>
      </c>
      <c r="D136" s="31" t="s">
        <v>94</v>
      </c>
      <c r="E136" s="31">
        <v>6980</v>
      </c>
      <c r="F136" s="31">
        <v>0</v>
      </c>
      <c r="G136" s="31">
        <v>6980</v>
      </c>
      <c r="H136" s="31">
        <v>6980</v>
      </c>
      <c r="I136" s="31">
        <v>0</v>
      </c>
      <c r="J136" s="31" t="s">
        <v>95</v>
      </c>
    </row>
    <row r="137" spans="1:10" s="31" customFormat="1" x14ac:dyDescent="0.4">
      <c r="A137" s="38">
        <v>43939</v>
      </c>
      <c r="B137" s="31" t="s">
        <v>114</v>
      </c>
      <c r="C137" s="31" t="s">
        <v>93</v>
      </c>
      <c r="D137" s="31" t="s">
        <v>94</v>
      </c>
      <c r="E137" s="31">
        <v>956</v>
      </c>
      <c r="F137" s="31">
        <v>0</v>
      </c>
      <c r="G137" s="31">
        <v>956</v>
      </c>
      <c r="H137" s="31">
        <v>956</v>
      </c>
      <c r="I137" s="31">
        <v>0</v>
      </c>
      <c r="J137" s="31" t="s">
        <v>95</v>
      </c>
    </row>
    <row r="138" spans="1:10" s="31" customFormat="1" x14ac:dyDescent="0.4">
      <c r="A138" s="38">
        <v>43936</v>
      </c>
      <c r="B138" s="31" t="s">
        <v>197</v>
      </c>
      <c r="C138" s="31" t="s">
        <v>93</v>
      </c>
      <c r="D138" s="31" t="s">
        <v>94</v>
      </c>
      <c r="E138" s="31">
        <v>17169</v>
      </c>
      <c r="F138" s="31">
        <v>0</v>
      </c>
      <c r="G138" s="31">
        <v>17169</v>
      </c>
      <c r="H138" s="31">
        <v>17169</v>
      </c>
      <c r="I138" s="31">
        <v>0</v>
      </c>
      <c r="J138" s="31" t="s">
        <v>95</v>
      </c>
    </row>
    <row r="139" spans="1:10" s="31" customFormat="1" x14ac:dyDescent="0.4">
      <c r="A139" s="38">
        <v>43935</v>
      </c>
      <c r="B139" s="31" t="s">
        <v>96</v>
      </c>
      <c r="C139" s="31" t="s">
        <v>93</v>
      </c>
      <c r="D139" s="31" t="s">
        <v>94</v>
      </c>
      <c r="E139" s="31">
        <v>5800</v>
      </c>
      <c r="F139" s="31">
        <v>0</v>
      </c>
      <c r="G139" s="31">
        <v>5800</v>
      </c>
      <c r="H139" s="31">
        <v>5800</v>
      </c>
      <c r="I139" s="31">
        <v>0</v>
      </c>
      <c r="J139" s="31" t="s">
        <v>95</v>
      </c>
    </row>
    <row r="140" spans="1:10" s="31" customFormat="1" x14ac:dyDescent="0.4">
      <c r="A140" s="38">
        <v>43934</v>
      </c>
      <c r="B140" s="31" t="s">
        <v>112</v>
      </c>
      <c r="C140" s="31" t="s">
        <v>93</v>
      </c>
      <c r="D140" s="31" t="s">
        <v>94</v>
      </c>
      <c r="E140" s="31">
        <v>3420</v>
      </c>
      <c r="F140" s="31">
        <v>0</v>
      </c>
      <c r="G140" s="31">
        <v>3420</v>
      </c>
      <c r="H140" s="31">
        <v>3420</v>
      </c>
      <c r="I140" s="31">
        <v>0</v>
      </c>
      <c r="J140" s="31" t="s">
        <v>95</v>
      </c>
    </row>
    <row r="141" spans="1:10" s="31" customFormat="1" x14ac:dyDescent="0.4">
      <c r="A141" s="38">
        <v>43932</v>
      </c>
      <c r="B141" s="31" t="s">
        <v>96</v>
      </c>
      <c r="C141" s="31" t="s">
        <v>93</v>
      </c>
      <c r="D141" s="31" t="s">
        <v>94</v>
      </c>
      <c r="E141" s="31">
        <v>2860</v>
      </c>
      <c r="F141" s="31">
        <v>0</v>
      </c>
      <c r="G141" s="31">
        <v>2860</v>
      </c>
      <c r="H141" s="31">
        <v>2860</v>
      </c>
      <c r="I141" s="31">
        <v>0</v>
      </c>
      <c r="J141" s="31" t="s">
        <v>95</v>
      </c>
    </row>
    <row r="142" spans="1:10" s="31" customFormat="1" x14ac:dyDescent="0.4">
      <c r="A142" s="38">
        <v>43932</v>
      </c>
      <c r="B142" s="31" t="s">
        <v>96</v>
      </c>
      <c r="C142" s="31" t="s">
        <v>93</v>
      </c>
      <c r="D142" s="31" t="s">
        <v>94</v>
      </c>
      <c r="E142" s="31">
        <v>8074</v>
      </c>
      <c r="F142" s="31">
        <v>0</v>
      </c>
      <c r="G142" s="31">
        <v>8074</v>
      </c>
      <c r="H142" s="31">
        <v>8074</v>
      </c>
      <c r="I142" s="31">
        <v>0</v>
      </c>
      <c r="J142" s="31" t="s">
        <v>95</v>
      </c>
    </row>
    <row r="143" spans="1:10" s="31" customFormat="1" x14ac:dyDescent="0.4">
      <c r="A143" s="38">
        <v>43932</v>
      </c>
      <c r="B143" s="31" t="s">
        <v>96</v>
      </c>
      <c r="C143" s="31" t="s">
        <v>93</v>
      </c>
      <c r="D143" s="31" t="s">
        <v>94</v>
      </c>
      <c r="E143" s="31">
        <v>1650</v>
      </c>
      <c r="F143" s="31">
        <v>0</v>
      </c>
      <c r="G143" s="31">
        <v>1650</v>
      </c>
      <c r="H143" s="31">
        <v>1650</v>
      </c>
      <c r="I143" s="31">
        <v>0</v>
      </c>
      <c r="J143" s="31" t="s">
        <v>95</v>
      </c>
    </row>
    <row r="144" spans="1:10" s="31" customFormat="1" x14ac:dyDescent="0.4">
      <c r="A144" s="38">
        <v>43931</v>
      </c>
      <c r="B144" s="31" t="s">
        <v>96</v>
      </c>
      <c r="C144" s="31" t="s">
        <v>93</v>
      </c>
      <c r="D144" s="31" t="s">
        <v>94</v>
      </c>
      <c r="E144" s="31">
        <v>7373</v>
      </c>
      <c r="F144" s="31">
        <v>0</v>
      </c>
      <c r="G144" s="31">
        <v>7373</v>
      </c>
      <c r="H144" s="31">
        <v>7373</v>
      </c>
      <c r="I144" s="31">
        <v>0</v>
      </c>
      <c r="J144" s="31" t="s">
        <v>95</v>
      </c>
    </row>
    <row r="145" spans="1:10" s="31" customFormat="1" x14ac:dyDescent="0.4">
      <c r="A145" s="38">
        <v>43929</v>
      </c>
      <c r="B145" s="31" t="s">
        <v>198</v>
      </c>
      <c r="C145" s="31" t="s">
        <v>93</v>
      </c>
      <c r="D145" s="31" t="s">
        <v>94</v>
      </c>
      <c r="E145" s="31">
        <v>14933</v>
      </c>
      <c r="F145" s="31">
        <v>0</v>
      </c>
      <c r="G145" s="31">
        <v>14933</v>
      </c>
      <c r="H145" s="31">
        <v>14933</v>
      </c>
      <c r="I145" s="31">
        <v>0</v>
      </c>
      <c r="J145" s="31" t="s">
        <v>95</v>
      </c>
    </row>
    <row r="146" spans="1:10" s="31" customFormat="1" x14ac:dyDescent="0.4">
      <c r="A146" s="38">
        <v>43924</v>
      </c>
      <c r="B146" s="31" t="s">
        <v>199</v>
      </c>
      <c r="C146" s="31" t="s">
        <v>93</v>
      </c>
      <c r="D146" s="31" t="s">
        <v>94</v>
      </c>
      <c r="E146" s="31">
        <v>13800</v>
      </c>
      <c r="F146" s="31">
        <v>0</v>
      </c>
      <c r="G146" s="31">
        <v>13800</v>
      </c>
      <c r="H146" s="31">
        <v>13800</v>
      </c>
      <c r="I146" s="31">
        <v>0</v>
      </c>
      <c r="J146" s="31" t="s">
        <v>95</v>
      </c>
    </row>
    <row r="147" spans="1:10" s="31" customFormat="1" x14ac:dyDescent="0.4">
      <c r="A147" s="38">
        <v>43923</v>
      </c>
      <c r="B147" s="31" t="s">
        <v>117</v>
      </c>
      <c r="C147" s="31" t="s">
        <v>93</v>
      </c>
      <c r="D147" s="31" t="s">
        <v>94</v>
      </c>
      <c r="E147" s="31">
        <v>748</v>
      </c>
      <c r="F147" s="31">
        <v>0</v>
      </c>
      <c r="G147" s="31">
        <v>748</v>
      </c>
      <c r="H147" s="31">
        <v>748</v>
      </c>
      <c r="I147" s="31">
        <v>0</v>
      </c>
      <c r="J147" s="31" t="s">
        <v>95</v>
      </c>
    </row>
    <row r="148" spans="1:10" s="31" customFormat="1" x14ac:dyDescent="0.4">
      <c r="A148" s="38">
        <v>43921</v>
      </c>
      <c r="B148" s="31" t="s">
        <v>200</v>
      </c>
      <c r="C148" s="31" t="s">
        <v>93</v>
      </c>
      <c r="D148" s="31" t="s">
        <v>94</v>
      </c>
      <c r="E148" s="31">
        <v>3300</v>
      </c>
      <c r="F148" s="31">
        <v>0</v>
      </c>
      <c r="G148" s="31">
        <v>3300</v>
      </c>
      <c r="H148" s="31">
        <v>3300</v>
      </c>
      <c r="I148" s="31">
        <v>0</v>
      </c>
      <c r="J148" s="31" t="s">
        <v>95</v>
      </c>
    </row>
    <row r="149" spans="1:10" s="31" customFormat="1" x14ac:dyDescent="0.4">
      <c r="A149" s="38">
        <v>43921</v>
      </c>
      <c r="B149" s="31" t="s">
        <v>200</v>
      </c>
      <c r="C149" s="31" t="s">
        <v>93</v>
      </c>
      <c r="D149" s="31" t="s">
        <v>94</v>
      </c>
      <c r="E149" s="31">
        <v>4208</v>
      </c>
      <c r="F149" s="31">
        <v>0</v>
      </c>
      <c r="G149" s="31">
        <v>4208</v>
      </c>
      <c r="H149" s="31">
        <v>4208</v>
      </c>
      <c r="I149" s="31">
        <v>0</v>
      </c>
      <c r="J149" s="31" t="s">
        <v>95</v>
      </c>
    </row>
    <row r="150" spans="1:10" s="31" customFormat="1" x14ac:dyDescent="0.4">
      <c r="A150" s="38">
        <v>43916</v>
      </c>
      <c r="B150" s="31" t="s">
        <v>201</v>
      </c>
      <c r="C150" s="31" t="s">
        <v>93</v>
      </c>
      <c r="D150" s="31" t="s">
        <v>94</v>
      </c>
      <c r="E150" s="31">
        <v>10488</v>
      </c>
      <c r="F150" s="31">
        <v>0</v>
      </c>
      <c r="G150" s="31">
        <v>10488</v>
      </c>
      <c r="H150" s="31">
        <v>10488</v>
      </c>
      <c r="I150" s="31">
        <v>0</v>
      </c>
      <c r="J150" s="31" t="s">
        <v>95</v>
      </c>
    </row>
    <row r="151" spans="1:10" s="31" customFormat="1" x14ac:dyDescent="0.4">
      <c r="A151" s="38">
        <v>43911</v>
      </c>
      <c r="B151" s="31" t="s">
        <v>202</v>
      </c>
      <c r="C151" s="31" t="s">
        <v>93</v>
      </c>
      <c r="D151" s="31" t="s">
        <v>94</v>
      </c>
      <c r="E151" s="31">
        <v>17600</v>
      </c>
      <c r="F151" s="31">
        <v>0</v>
      </c>
      <c r="G151" s="31">
        <v>17600</v>
      </c>
      <c r="H151" s="31">
        <v>17600</v>
      </c>
      <c r="I151" s="31">
        <v>0</v>
      </c>
      <c r="J151" s="31" t="s">
        <v>95</v>
      </c>
    </row>
    <row r="152" spans="1:10" s="31" customFormat="1" x14ac:dyDescent="0.4">
      <c r="A152" s="38">
        <v>43982</v>
      </c>
      <c r="B152" s="31" t="s">
        <v>96</v>
      </c>
      <c r="C152" s="31" t="s">
        <v>93</v>
      </c>
      <c r="D152" s="31" t="s">
        <v>94</v>
      </c>
      <c r="E152" s="31">
        <v>1914</v>
      </c>
      <c r="F152" s="31">
        <v>0</v>
      </c>
      <c r="G152" s="31">
        <v>1914</v>
      </c>
      <c r="H152" s="31">
        <v>1914</v>
      </c>
      <c r="I152" s="31">
        <v>0</v>
      </c>
      <c r="J152" s="31" t="s">
        <v>95</v>
      </c>
    </row>
    <row r="153" spans="1:10" s="31" customFormat="1" x14ac:dyDescent="0.4">
      <c r="A153" s="38">
        <v>43981</v>
      </c>
      <c r="B153" s="31" t="s">
        <v>96</v>
      </c>
      <c r="C153" s="31" t="s">
        <v>93</v>
      </c>
      <c r="D153" s="31" t="s">
        <v>94</v>
      </c>
      <c r="E153" s="31">
        <v>1659</v>
      </c>
      <c r="F153" s="31">
        <v>0</v>
      </c>
      <c r="G153" s="31">
        <v>1659</v>
      </c>
      <c r="H153" s="31">
        <v>1659</v>
      </c>
      <c r="I153" s="31">
        <v>0</v>
      </c>
      <c r="J153" s="31" t="s">
        <v>95</v>
      </c>
    </row>
    <row r="154" spans="1:10" s="31" customFormat="1" x14ac:dyDescent="0.4">
      <c r="A154" s="38">
        <v>43981</v>
      </c>
      <c r="B154" s="31" t="s">
        <v>96</v>
      </c>
      <c r="C154" s="31" t="s">
        <v>93</v>
      </c>
      <c r="D154" s="31" t="s">
        <v>94</v>
      </c>
      <c r="E154" s="31">
        <v>2000</v>
      </c>
      <c r="F154" s="31">
        <v>0</v>
      </c>
      <c r="G154" s="31">
        <v>2000</v>
      </c>
      <c r="H154" s="31">
        <v>2000</v>
      </c>
      <c r="I154" s="31">
        <v>0</v>
      </c>
      <c r="J154" s="31" t="s">
        <v>95</v>
      </c>
    </row>
    <row r="155" spans="1:10" s="31" customFormat="1" x14ac:dyDescent="0.4">
      <c r="A155" s="38">
        <v>43981</v>
      </c>
      <c r="B155" s="31" t="s">
        <v>203</v>
      </c>
      <c r="C155" s="31" t="s">
        <v>93</v>
      </c>
      <c r="D155" s="31" t="s">
        <v>94</v>
      </c>
      <c r="E155" s="31">
        <v>83521</v>
      </c>
      <c r="F155" s="31">
        <v>0</v>
      </c>
      <c r="G155" s="31">
        <v>83521</v>
      </c>
      <c r="H155" s="31">
        <v>83521</v>
      </c>
      <c r="I155" s="31">
        <v>0</v>
      </c>
      <c r="J155" s="31" t="s">
        <v>95</v>
      </c>
    </row>
    <row r="156" spans="1:10" s="31" customFormat="1" x14ac:dyDescent="0.4">
      <c r="A156" s="38">
        <v>43978</v>
      </c>
      <c r="B156" s="31" t="s">
        <v>96</v>
      </c>
      <c r="C156" s="31" t="s">
        <v>93</v>
      </c>
      <c r="D156" s="31" t="s">
        <v>94</v>
      </c>
      <c r="E156" s="31">
        <v>620</v>
      </c>
      <c r="F156" s="31">
        <v>0</v>
      </c>
      <c r="G156" s="31">
        <v>620</v>
      </c>
      <c r="H156" s="31">
        <v>620</v>
      </c>
      <c r="I156" s="31">
        <v>0</v>
      </c>
      <c r="J156" s="31" t="s">
        <v>95</v>
      </c>
    </row>
    <row r="157" spans="1:10" s="31" customFormat="1" x14ac:dyDescent="0.4">
      <c r="A157" s="38">
        <v>43975</v>
      </c>
      <c r="B157" s="31" t="s">
        <v>102</v>
      </c>
      <c r="C157" s="31" t="s">
        <v>93</v>
      </c>
      <c r="D157" s="31" t="s">
        <v>94</v>
      </c>
      <c r="E157" s="31">
        <v>3952</v>
      </c>
      <c r="F157" s="31">
        <v>0</v>
      </c>
      <c r="G157" s="31">
        <v>3952</v>
      </c>
      <c r="H157" s="31">
        <v>3952</v>
      </c>
      <c r="I157" s="31">
        <v>0</v>
      </c>
      <c r="J157" s="31" t="s">
        <v>95</v>
      </c>
    </row>
    <row r="158" spans="1:10" s="31" customFormat="1" x14ac:dyDescent="0.4">
      <c r="A158" s="38">
        <v>43967</v>
      </c>
      <c r="B158" s="31" t="s">
        <v>114</v>
      </c>
      <c r="C158" s="31" t="s">
        <v>93</v>
      </c>
      <c r="D158" s="31" t="s">
        <v>94</v>
      </c>
      <c r="E158" s="31">
        <v>3913</v>
      </c>
      <c r="F158" s="31">
        <v>0</v>
      </c>
      <c r="G158" s="31">
        <v>3913</v>
      </c>
      <c r="H158" s="31">
        <v>3913</v>
      </c>
      <c r="I158" s="31">
        <v>0</v>
      </c>
      <c r="J158" s="31" t="s">
        <v>95</v>
      </c>
    </row>
    <row r="159" spans="1:10" s="31" customFormat="1" x14ac:dyDescent="0.4">
      <c r="A159" s="38">
        <v>43967</v>
      </c>
      <c r="B159" s="31" t="s">
        <v>204</v>
      </c>
      <c r="C159" s="31" t="s">
        <v>93</v>
      </c>
      <c r="D159" s="31" t="s">
        <v>94</v>
      </c>
      <c r="E159" s="31">
        <v>13200</v>
      </c>
      <c r="F159" s="31">
        <v>0</v>
      </c>
      <c r="G159" s="31">
        <v>13200</v>
      </c>
      <c r="H159" s="31">
        <v>13200</v>
      </c>
      <c r="I159" s="31">
        <v>0</v>
      </c>
      <c r="J159" s="31" t="s">
        <v>95</v>
      </c>
    </row>
    <row r="160" spans="1:10" s="31" customFormat="1" x14ac:dyDescent="0.4">
      <c r="A160" s="38">
        <v>43966</v>
      </c>
      <c r="B160" s="31" t="s">
        <v>205</v>
      </c>
      <c r="C160" s="31" t="s">
        <v>93</v>
      </c>
      <c r="D160" s="31" t="s">
        <v>94</v>
      </c>
      <c r="E160" s="31">
        <v>14037</v>
      </c>
      <c r="F160" s="31">
        <v>0</v>
      </c>
      <c r="G160" s="31">
        <v>14037</v>
      </c>
      <c r="H160" s="31">
        <v>14037</v>
      </c>
      <c r="I160" s="31">
        <v>0</v>
      </c>
      <c r="J160" s="31" t="s">
        <v>95</v>
      </c>
    </row>
    <row r="161" spans="1:10" s="31" customFormat="1" x14ac:dyDescent="0.4">
      <c r="A161" s="38">
        <v>43965</v>
      </c>
      <c r="B161" s="31" t="s">
        <v>77</v>
      </c>
      <c r="C161" s="31" t="s">
        <v>93</v>
      </c>
      <c r="D161" s="31" t="s">
        <v>94</v>
      </c>
      <c r="E161" s="31">
        <v>2450</v>
      </c>
      <c r="F161" s="31">
        <v>0</v>
      </c>
      <c r="G161" s="31">
        <v>2450</v>
      </c>
      <c r="H161" s="31">
        <v>2450</v>
      </c>
      <c r="I161" s="31">
        <v>0</v>
      </c>
      <c r="J161" s="31" t="s">
        <v>95</v>
      </c>
    </row>
    <row r="162" spans="1:10" s="31" customFormat="1" x14ac:dyDescent="0.4">
      <c r="A162" s="38">
        <v>43964</v>
      </c>
      <c r="B162" s="31" t="s">
        <v>112</v>
      </c>
      <c r="C162" s="31" t="s">
        <v>93</v>
      </c>
      <c r="D162" s="31" t="s">
        <v>94</v>
      </c>
      <c r="E162" s="31">
        <v>3420</v>
      </c>
      <c r="F162" s="31">
        <v>0</v>
      </c>
      <c r="G162" s="31">
        <v>3420</v>
      </c>
      <c r="H162" s="31">
        <v>3420</v>
      </c>
      <c r="I162" s="31">
        <v>0</v>
      </c>
      <c r="J162" s="31" t="s">
        <v>95</v>
      </c>
    </row>
    <row r="163" spans="1:10" s="31" customFormat="1" x14ac:dyDescent="0.4">
      <c r="A163" s="38">
        <v>43964</v>
      </c>
      <c r="B163" s="31" t="s">
        <v>194</v>
      </c>
      <c r="C163" s="31" t="s">
        <v>93</v>
      </c>
      <c r="D163" s="31" t="s">
        <v>94</v>
      </c>
      <c r="E163" s="31">
        <v>4890</v>
      </c>
      <c r="F163" s="31">
        <v>0</v>
      </c>
      <c r="G163" s="31">
        <v>4890</v>
      </c>
      <c r="H163" s="31">
        <v>4890</v>
      </c>
      <c r="I163" s="31">
        <v>0</v>
      </c>
      <c r="J163" s="31" t="s">
        <v>95</v>
      </c>
    </row>
    <row r="164" spans="1:10" s="31" customFormat="1" x14ac:dyDescent="0.4">
      <c r="A164" s="38">
        <v>43963</v>
      </c>
      <c r="B164" s="31" t="s">
        <v>206</v>
      </c>
      <c r="C164" s="31" t="s">
        <v>93</v>
      </c>
      <c r="D164" s="31" t="s">
        <v>94</v>
      </c>
      <c r="E164" s="31">
        <v>740</v>
      </c>
      <c r="F164" s="31">
        <v>0</v>
      </c>
      <c r="G164" s="31">
        <v>740</v>
      </c>
      <c r="H164" s="31">
        <v>740</v>
      </c>
      <c r="I164" s="31">
        <v>0</v>
      </c>
      <c r="J164" s="31" t="s">
        <v>95</v>
      </c>
    </row>
    <row r="165" spans="1:10" s="31" customFormat="1" x14ac:dyDescent="0.4">
      <c r="A165" s="38">
        <v>43962</v>
      </c>
      <c r="B165" s="31" t="s">
        <v>96</v>
      </c>
      <c r="C165" s="31" t="s">
        <v>93</v>
      </c>
      <c r="D165" s="31" t="s">
        <v>94</v>
      </c>
      <c r="E165" s="31">
        <v>1212</v>
      </c>
      <c r="F165" s="31">
        <v>0</v>
      </c>
      <c r="G165" s="31">
        <v>1212</v>
      </c>
      <c r="H165" s="31">
        <v>1212</v>
      </c>
      <c r="I165" s="31">
        <v>0</v>
      </c>
      <c r="J165" s="31" t="s">
        <v>95</v>
      </c>
    </row>
    <row r="166" spans="1:10" s="31" customFormat="1" x14ac:dyDescent="0.4">
      <c r="A166" s="38">
        <v>43961</v>
      </c>
      <c r="B166" s="31" t="s">
        <v>207</v>
      </c>
      <c r="C166" s="31" t="s">
        <v>93</v>
      </c>
      <c r="D166" s="31" t="s">
        <v>94</v>
      </c>
      <c r="E166" s="31">
        <v>744</v>
      </c>
      <c r="F166" s="31">
        <v>0</v>
      </c>
      <c r="G166" s="31">
        <v>744</v>
      </c>
      <c r="H166" s="31">
        <v>744</v>
      </c>
      <c r="I166" s="31">
        <v>0</v>
      </c>
      <c r="J166" s="31" t="s">
        <v>95</v>
      </c>
    </row>
    <row r="167" spans="1:10" s="31" customFormat="1" x14ac:dyDescent="0.4">
      <c r="A167" s="38">
        <v>43960</v>
      </c>
      <c r="B167" s="31" t="s">
        <v>96</v>
      </c>
      <c r="C167" s="31" t="s">
        <v>93</v>
      </c>
      <c r="D167" s="31" t="s">
        <v>94</v>
      </c>
      <c r="E167" s="31">
        <v>1689</v>
      </c>
      <c r="F167" s="31">
        <v>0</v>
      </c>
      <c r="G167" s="31">
        <v>1689</v>
      </c>
      <c r="H167" s="31">
        <v>1689</v>
      </c>
      <c r="I167" s="31">
        <v>0</v>
      </c>
      <c r="J167" s="31" t="s">
        <v>95</v>
      </c>
    </row>
    <row r="168" spans="1:10" s="31" customFormat="1" x14ac:dyDescent="0.4">
      <c r="A168" s="38">
        <v>43960</v>
      </c>
      <c r="B168" s="31" t="s">
        <v>208</v>
      </c>
      <c r="C168" s="31" t="s">
        <v>93</v>
      </c>
      <c r="D168" s="31" t="s">
        <v>94</v>
      </c>
      <c r="E168" s="31">
        <v>690</v>
      </c>
      <c r="F168" s="31">
        <v>0</v>
      </c>
      <c r="G168" s="31">
        <v>690</v>
      </c>
      <c r="H168" s="31">
        <v>690</v>
      </c>
      <c r="I168" s="31">
        <v>0</v>
      </c>
      <c r="J168" s="31" t="s">
        <v>95</v>
      </c>
    </row>
    <row r="169" spans="1:10" s="31" customFormat="1" x14ac:dyDescent="0.4">
      <c r="A169" s="38">
        <v>43953</v>
      </c>
      <c r="B169" s="31" t="s">
        <v>96</v>
      </c>
      <c r="C169" s="31" t="s">
        <v>93</v>
      </c>
      <c r="D169" s="31" t="s">
        <v>94</v>
      </c>
      <c r="E169" s="31">
        <v>6342</v>
      </c>
      <c r="F169" s="31">
        <v>0</v>
      </c>
      <c r="G169" s="31">
        <v>6342</v>
      </c>
      <c r="H169" s="31">
        <v>6342</v>
      </c>
      <c r="I169" s="31">
        <v>0</v>
      </c>
      <c r="J169" s="31" t="s">
        <v>95</v>
      </c>
    </row>
    <row r="170" spans="1:10" s="31" customFormat="1" x14ac:dyDescent="0.4">
      <c r="A170" s="38">
        <v>43952</v>
      </c>
      <c r="B170" s="31" t="s">
        <v>117</v>
      </c>
      <c r="C170" s="31" t="s">
        <v>93</v>
      </c>
      <c r="D170" s="31" t="s">
        <v>94</v>
      </c>
      <c r="E170" s="31">
        <v>748</v>
      </c>
      <c r="F170" s="31">
        <v>0</v>
      </c>
      <c r="G170" s="31">
        <v>748</v>
      </c>
      <c r="H170" s="31">
        <v>748</v>
      </c>
      <c r="I170" s="31">
        <v>0</v>
      </c>
      <c r="J170" s="31" t="s">
        <v>95</v>
      </c>
    </row>
    <row r="171" spans="1:10" s="31" customFormat="1" x14ac:dyDescent="0.4">
      <c r="A171" s="38">
        <v>43952</v>
      </c>
      <c r="B171" s="31" t="s">
        <v>96</v>
      </c>
      <c r="C171" s="31" t="s">
        <v>93</v>
      </c>
      <c r="D171" s="31" t="s">
        <v>94</v>
      </c>
      <c r="E171" s="31">
        <v>5663</v>
      </c>
      <c r="F171" s="31">
        <v>0</v>
      </c>
      <c r="G171" s="31">
        <v>5663</v>
      </c>
      <c r="H171" s="31">
        <v>5663</v>
      </c>
      <c r="I171" s="31">
        <v>0</v>
      </c>
      <c r="J171" s="31" t="s">
        <v>95</v>
      </c>
    </row>
    <row r="172" spans="1:10" s="31" customFormat="1" x14ac:dyDescent="0.4">
      <c r="A172" s="38">
        <v>43951</v>
      </c>
      <c r="B172" s="31" t="s">
        <v>200</v>
      </c>
      <c r="C172" s="31" t="s">
        <v>93</v>
      </c>
      <c r="D172" s="31" t="s">
        <v>94</v>
      </c>
      <c r="E172" s="31">
        <v>1486</v>
      </c>
      <c r="F172" s="31">
        <v>0</v>
      </c>
      <c r="G172" s="31">
        <v>1486</v>
      </c>
      <c r="H172" s="31">
        <v>1486</v>
      </c>
      <c r="I172" s="31">
        <v>0</v>
      </c>
      <c r="J172" s="31" t="s">
        <v>95</v>
      </c>
    </row>
    <row r="173" spans="1:10" s="31" customFormat="1" x14ac:dyDescent="0.4">
      <c r="A173" s="38">
        <v>43951</v>
      </c>
      <c r="B173" s="31" t="s">
        <v>200</v>
      </c>
      <c r="C173" s="31" t="s">
        <v>93</v>
      </c>
      <c r="D173" s="31" t="s">
        <v>94</v>
      </c>
      <c r="E173" s="31">
        <v>3300</v>
      </c>
      <c r="F173" s="31">
        <v>0</v>
      </c>
      <c r="G173" s="31">
        <v>3300</v>
      </c>
      <c r="H173" s="31">
        <v>3300</v>
      </c>
      <c r="I173" s="31">
        <v>0</v>
      </c>
      <c r="J173" s="31" t="s">
        <v>95</v>
      </c>
    </row>
    <row r="174" spans="1:10" s="31" customFormat="1" x14ac:dyDescent="0.4">
      <c r="A174" s="38">
        <v>43951</v>
      </c>
      <c r="B174" s="31" t="s">
        <v>200</v>
      </c>
      <c r="C174" s="31" t="s">
        <v>93</v>
      </c>
      <c r="D174" s="31" t="s">
        <v>94</v>
      </c>
      <c r="E174" s="31">
        <v>3731</v>
      </c>
      <c r="F174" s="31">
        <v>0</v>
      </c>
      <c r="G174" s="31">
        <v>3731</v>
      </c>
      <c r="H174" s="31">
        <v>3731</v>
      </c>
      <c r="I174" s="31">
        <v>0</v>
      </c>
      <c r="J174" s="31" t="s">
        <v>95</v>
      </c>
    </row>
    <row r="175" spans="1:10" s="31" customFormat="1" x14ac:dyDescent="0.4">
      <c r="A175" s="38">
        <v>43945</v>
      </c>
      <c r="B175" s="31" t="s">
        <v>209</v>
      </c>
      <c r="C175" s="31" t="s">
        <v>93</v>
      </c>
      <c r="D175" s="31" t="s">
        <v>94</v>
      </c>
      <c r="E175" s="31">
        <v>9408</v>
      </c>
      <c r="F175" s="31">
        <v>0</v>
      </c>
      <c r="G175" s="31">
        <v>9408</v>
      </c>
      <c r="H175" s="31">
        <v>9408</v>
      </c>
      <c r="I175" s="31">
        <v>0</v>
      </c>
      <c r="J175" s="31" t="s">
        <v>95</v>
      </c>
    </row>
    <row r="176" spans="1:10" s="31" customFormat="1" x14ac:dyDescent="0.4">
      <c r="A176" s="38">
        <v>44012</v>
      </c>
      <c r="B176" s="31" t="s">
        <v>96</v>
      </c>
      <c r="C176" s="31" t="s">
        <v>93</v>
      </c>
      <c r="D176" s="31" t="s">
        <v>94</v>
      </c>
      <c r="E176" s="31">
        <v>1376</v>
      </c>
      <c r="F176" s="31">
        <v>0</v>
      </c>
      <c r="G176" s="31">
        <v>1376</v>
      </c>
      <c r="H176" s="31">
        <v>1376</v>
      </c>
      <c r="I176" s="31">
        <v>0</v>
      </c>
      <c r="J176" s="31" t="s">
        <v>95</v>
      </c>
    </row>
    <row r="177" spans="1:10" s="31" customFormat="1" x14ac:dyDescent="0.4">
      <c r="A177" s="38">
        <v>44009</v>
      </c>
      <c r="B177" s="31" t="s">
        <v>210</v>
      </c>
      <c r="C177" s="31" t="s">
        <v>93</v>
      </c>
      <c r="D177" s="31" t="s">
        <v>94</v>
      </c>
      <c r="E177" s="31">
        <v>1980</v>
      </c>
      <c r="F177" s="31">
        <v>0</v>
      </c>
      <c r="G177" s="31">
        <v>1980</v>
      </c>
      <c r="H177" s="31">
        <v>1980</v>
      </c>
      <c r="I177" s="31">
        <v>0</v>
      </c>
      <c r="J177" s="31" t="s">
        <v>95</v>
      </c>
    </row>
    <row r="178" spans="1:10" s="31" customFormat="1" x14ac:dyDescent="0.4">
      <c r="A178" s="38">
        <v>44009</v>
      </c>
      <c r="B178" s="31" t="s">
        <v>210</v>
      </c>
      <c r="C178" s="31" t="s">
        <v>93</v>
      </c>
      <c r="D178" s="31" t="s">
        <v>94</v>
      </c>
      <c r="E178" s="31">
        <v>2640</v>
      </c>
      <c r="F178" s="31">
        <v>0</v>
      </c>
      <c r="G178" s="31">
        <v>2640</v>
      </c>
      <c r="H178" s="31">
        <v>2640</v>
      </c>
      <c r="I178" s="31">
        <v>0</v>
      </c>
      <c r="J178" s="31" t="s">
        <v>95</v>
      </c>
    </row>
    <row r="179" spans="1:10" s="31" customFormat="1" x14ac:dyDescent="0.4">
      <c r="A179" s="38">
        <v>44009</v>
      </c>
      <c r="B179" s="31" t="s">
        <v>210</v>
      </c>
      <c r="C179" s="31" t="s">
        <v>93</v>
      </c>
      <c r="D179" s="31" t="s">
        <v>94</v>
      </c>
      <c r="E179" s="31">
        <v>1980</v>
      </c>
      <c r="F179" s="31">
        <v>0</v>
      </c>
      <c r="G179" s="31">
        <v>1980</v>
      </c>
      <c r="H179" s="31">
        <v>1980</v>
      </c>
      <c r="I179" s="31">
        <v>0</v>
      </c>
      <c r="J179" s="31" t="s">
        <v>95</v>
      </c>
    </row>
    <row r="180" spans="1:10" s="31" customFormat="1" x14ac:dyDescent="0.4">
      <c r="A180" s="38">
        <v>44009</v>
      </c>
      <c r="B180" s="31" t="s">
        <v>114</v>
      </c>
      <c r="C180" s="31" t="s">
        <v>93</v>
      </c>
      <c r="D180" s="31" t="s">
        <v>94</v>
      </c>
      <c r="E180" s="31">
        <v>1097</v>
      </c>
      <c r="F180" s="31">
        <v>0</v>
      </c>
      <c r="G180" s="31">
        <v>1097</v>
      </c>
      <c r="H180" s="31">
        <v>1097</v>
      </c>
      <c r="I180" s="31">
        <v>0</v>
      </c>
      <c r="J180" s="31" t="s">
        <v>95</v>
      </c>
    </row>
    <row r="181" spans="1:10" s="31" customFormat="1" x14ac:dyDescent="0.4">
      <c r="A181" s="38">
        <v>44009</v>
      </c>
      <c r="B181" s="31" t="s">
        <v>97</v>
      </c>
      <c r="C181" s="31" t="s">
        <v>93</v>
      </c>
      <c r="D181" s="31" t="s">
        <v>94</v>
      </c>
      <c r="E181" s="31">
        <v>9818</v>
      </c>
      <c r="F181" s="31">
        <v>0</v>
      </c>
      <c r="G181" s="31">
        <v>9818</v>
      </c>
      <c r="H181" s="31">
        <v>9818</v>
      </c>
      <c r="I181" s="31">
        <v>0</v>
      </c>
      <c r="J181" s="31" t="s">
        <v>95</v>
      </c>
    </row>
    <row r="182" spans="1:10" s="31" customFormat="1" x14ac:dyDescent="0.4">
      <c r="A182" s="38">
        <v>44007</v>
      </c>
      <c r="B182" s="31" t="s">
        <v>96</v>
      </c>
      <c r="C182" s="31" t="s">
        <v>93</v>
      </c>
      <c r="D182" s="31" t="s">
        <v>94</v>
      </c>
      <c r="E182" s="31">
        <v>17556</v>
      </c>
      <c r="F182" s="31">
        <v>0</v>
      </c>
      <c r="G182" s="31">
        <v>17556</v>
      </c>
      <c r="H182" s="31">
        <v>17556</v>
      </c>
      <c r="I182" s="31">
        <v>0</v>
      </c>
      <c r="J182" s="31" t="s">
        <v>95</v>
      </c>
    </row>
    <row r="183" spans="1:10" s="31" customFormat="1" x14ac:dyDescent="0.4">
      <c r="A183" s="38">
        <v>44006</v>
      </c>
      <c r="B183" s="31" t="s">
        <v>211</v>
      </c>
      <c r="C183" s="31" t="s">
        <v>93</v>
      </c>
      <c r="D183" s="31" t="s">
        <v>94</v>
      </c>
      <c r="E183" s="31">
        <v>1628</v>
      </c>
      <c r="F183" s="31">
        <v>0</v>
      </c>
      <c r="G183" s="31">
        <v>1628</v>
      </c>
      <c r="H183" s="31">
        <v>1628</v>
      </c>
      <c r="I183" s="31">
        <v>0</v>
      </c>
      <c r="J183" s="31" t="s">
        <v>95</v>
      </c>
    </row>
    <row r="184" spans="1:10" s="31" customFormat="1" x14ac:dyDescent="0.4">
      <c r="A184" s="38">
        <v>44006</v>
      </c>
      <c r="B184" s="31" t="s">
        <v>210</v>
      </c>
      <c r="C184" s="31" t="s">
        <v>93</v>
      </c>
      <c r="D184" s="31" t="s">
        <v>94</v>
      </c>
      <c r="E184" s="31">
        <v>1980</v>
      </c>
      <c r="F184" s="31">
        <v>0</v>
      </c>
      <c r="G184" s="31">
        <v>1980</v>
      </c>
      <c r="H184" s="31">
        <v>1980</v>
      </c>
      <c r="I184" s="31">
        <v>0</v>
      </c>
      <c r="J184" s="31" t="s">
        <v>95</v>
      </c>
    </row>
    <row r="185" spans="1:10" s="31" customFormat="1" x14ac:dyDescent="0.4">
      <c r="A185" s="38">
        <v>44006</v>
      </c>
      <c r="B185" s="31" t="s">
        <v>210</v>
      </c>
      <c r="C185" s="31" t="s">
        <v>93</v>
      </c>
      <c r="D185" s="31" t="s">
        <v>94</v>
      </c>
      <c r="E185" s="31">
        <v>3300</v>
      </c>
      <c r="F185" s="31">
        <v>0</v>
      </c>
      <c r="G185" s="31">
        <v>3300</v>
      </c>
      <c r="H185" s="31">
        <v>3300</v>
      </c>
      <c r="I185" s="31">
        <v>0</v>
      </c>
      <c r="J185" s="31" t="s">
        <v>95</v>
      </c>
    </row>
    <row r="186" spans="1:10" s="31" customFormat="1" x14ac:dyDescent="0.4">
      <c r="A186" s="38">
        <v>44005</v>
      </c>
      <c r="B186" s="31" t="s">
        <v>210</v>
      </c>
      <c r="C186" s="31" t="s">
        <v>93</v>
      </c>
      <c r="D186" s="31" t="s">
        <v>94</v>
      </c>
      <c r="E186" s="31">
        <v>1980</v>
      </c>
      <c r="F186" s="31">
        <v>0</v>
      </c>
      <c r="G186" s="31">
        <v>1980</v>
      </c>
      <c r="H186" s="31">
        <v>1980</v>
      </c>
      <c r="I186" s="31">
        <v>0</v>
      </c>
      <c r="J186" s="31" t="s">
        <v>95</v>
      </c>
    </row>
    <row r="187" spans="1:10" s="31" customFormat="1" x14ac:dyDescent="0.4">
      <c r="A187" s="38">
        <v>44005</v>
      </c>
      <c r="B187" s="31" t="s">
        <v>210</v>
      </c>
      <c r="C187" s="31" t="s">
        <v>93</v>
      </c>
      <c r="D187" s="31" t="s">
        <v>94</v>
      </c>
      <c r="E187" s="31">
        <v>1980</v>
      </c>
      <c r="F187" s="31">
        <v>0</v>
      </c>
      <c r="G187" s="31">
        <v>1980</v>
      </c>
      <c r="H187" s="31">
        <v>1980</v>
      </c>
      <c r="I187" s="31">
        <v>0</v>
      </c>
      <c r="J187" s="31" t="s">
        <v>95</v>
      </c>
    </row>
    <row r="188" spans="1:10" s="31" customFormat="1" x14ac:dyDescent="0.4">
      <c r="A188" s="38">
        <v>44004</v>
      </c>
      <c r="B188" s="31" t="s">
        <v>210</v>
      </c>
      <c r="C188" s="31" t="s">
        <v>93</v>
      </c>
      <c r="D188" s="31" t="s">
        <v>94</v>
      </c>
      <c r="E188" s="31">
        <v>3300</v>
      </c>
      <c r="F188" s="31">
        <v>0</v>
      </c>
      <c r="G188" s="31">
        <v>3300</v>
      </c>
      <c r="H188" s="31">
        <v>3300</v>
      </c>
      <c r="I188" s="31">
        <v>0</v>
      </c>
      <c r="J188" s="31" t="s">
        <v>95</v>
      </c>
    </row>
    <row r="189" spans="1:10" s="31" customFormat="1" x14ac:dyDescent="0.4">
      <c r="A189" s="38">
        <v>44003</v>
      </c>
      <c r="B189" s="31" t="s">
        <v>96</v>
      </c>
      <c r="C189" s="31" t="s">
        <v>93</v>
      </c>
      <c r="D189" s="31" t="s">
        <v>94</v>
      </c>
      <c r="E189" s="31">
        <v>3146</v>
      </c>
      <c r="F189" s="31">
        <v>0</v>
      </c>
      <c r="G189" s="31">
        <v>3146</v>
      </c>
      <c r="H189" s="31">
        <v>3146</v>
      </c>
      <c r="I189" s="31">
        <v>0</v>
      </c>
      <c r="J189" s="31" t="s">
        <v>95</v>
      </c>
    </row>
    <row r="190" spans="1:10" s="31" customFormat="1" x14ac:dyDescent="0.4">
      <c r="A190" s="38">
        <v>44003</v>
      </c>
      <c r="B190" s="31" t="s">
        <v>96</v>
      </c>
      <c r="C190" s="31" t="s">
        <v>93</v>
      </c>
      <c r="D190" s="31" t="s">
        <v>94</v>
      </c>
      <c r="E190" s="31">
        <v>1399</v>
      </c>
      <c r="F190" s="31">
        <v>0</v>
      </c>
      <c r="G190" s="31">
        <v>1399</v>
      </c>
      <c r="H190" s="31">
        <v>1399</v>
      </c>
      <c r="I190" s="31">
        <v>0</v>
      </c>
      <c r="J190" s="31" t="s">
        <v>95</v>
      </c>
    </row>
    <row r="191" spans="1:10" s="31" customFormat="1" x14ac:dyDescent="0.4">
      <c r="A191" s="38">
        <v>44003</v>
      </c>
      <c r="B191" s="31" t="s">
        <v>96</v>
      </c>
      <c r="C191" s="31" t="s">
        <v>93</v>
      </c>
      <c r="D191" s="31" t="s">
        <v>94</v>
      </c>
      <c r="E191" s="31">
        <v>1430</v>
      </c>
      <c r="F191" s="31">
        <v>0</v>
      </c>
      <c r="G191" s="31">
        <v>1430</v>
      </c>
      <c r="H191" s="31">
        <v>1430</v>
      </c>
      <c r="I191" s="31">
        <v>0</v>
      </c>
      <c r="J191" s="31" t="s">
        <v>95</v>
      </c>
    </row>
    <row r="192" spans="1:10" s="31" customFormat="1" x14ac:dyDescent="0.4">
      <c r="A192" s="38">
        <v>44003</v>
      </c>
      <c r="B192" s="31" t="s">
        <v>210</v>
      </c>
      <c r="C192" s="31" t="s">
        <v>93</v>
      </c>
      <c r="D192" s="31" t="s">
        <v>94</v>
      </c>
      <c r="E192" s="31">
        <v>3300</v>
      </c>
      <c r="F192" s="31">
        <v>0</v>
      </c>
      <c r="G192" s="31">
        <v>3300</v>
      </c>
      <c r="H192" s="31">
        <v>3300</v>
      </c>
      <c r="I192" s="31">
        <v>0</v>
      </c>
      <c r="J192" s="31" t="s">
        <v>95</v>
      </c>
    </row>
    <row r="193" spans="1:10" s="31" customFormat="1" x14ac:dyDescent="0.4">
      <c r="A193" s="38">
        <v>44002</v>
      </c>
      <c r="B193" s="31" t="s">
        <v>114</v>
      </c>
      <c r="C193" s="31" t="s">
        <v>93</v>
      </c>
      <c r="D193" s="31" t="s">
        <v>94</v>
      </c>
      <c r="E193" s="31">
        <v>5447</v>
      </c>
      <c r="F193" s="31">
        <v>0</v>
      </c>
      <c r="G193" s="31">
        <v>5447</v>
      </c>
      <c r="H193" s="31">
        <v>5447</v>
      </c>
      <c r="I193" s="31">
        <v>0</v>
      </c>
      <c r="J193" s="31" t="s">
        <v>95</v>
      </c>
    </row>
    <row r="194" spans="1:10" s="31" customFormat="1" x14ac:dyDescent="0.4">
      <c r="A194" s="38">
        <v>44002</v>
      </c>
      <c r="B194" s="31" t="s">
        <v>114</v>
      </c>
      <c r="C194" s="31" t="s">
        <v>93</v>
      </c>
      <c r="D194" s="31" t="s">
        <v>94</v>
      </c>
      <c r="E194" s="31">
        <v>321</v>
      </c>
      <c r="F194" s="31">
        <v>0</v>
      </c>
      <c r="G194" s="31">
        <v>321</v>
      </c>
      <c r="H194" s="31">
        <v>321</v>
      </c>
      <c r="I194" s="31">
        <v>0</v>
      </c>
      <c r="J194" s="31" t="s">
        <v>95</v>
      </c>
    </row>
    <row r="195" spans="1:10" s="31" customFormat="1" x14ac:dyDescent="0.4">
      <c r="A195" s="38">
        <v>44001</v>
      </c>
      <c r="B195" s="31" t="s">
        <v>212</v>
      </c>
      <c r="C195" s="31" t="s">
        <v>93</v>
      </c>
      <c r="D195" s="31" t="s">
        <v>94</v>
      </c>
      <c r="E195" s="31">
        <v>33600</v>
      </c>
      <c r="F195" s="31">
        <v>0</v>
      </c>
      <c r="G195" s="31">
        <v>33600</v>
      </c>
      <c r="H195" s="31">
        <v>33600</v>
      </c>
      <c r="I195" s="31">
        <v>0</v>
      </c>
      <c r="J195" s="31" t="s">
        <v>95</v>
      </c>
    </row>
    <row r="196" spans="1:10" s="31" customFormat="1" x14ac:dyDescent="0.4">
      <c r="A196" s="38">
        <v>43997</v>
      </c>
      <c r="B196" s="31" t="s">
        <v>213</v>
      </c>
      <c r="C196" s="31" t="s">
        <v>93</v>
      </c>
      <c r="D196" s="31" t="s">
        <v>94</v>
      </c>
      <c r="E196" s="31">
        <v>15015</v>
      </c>
      <c r="F196" s="31">
        <v>0</v>
      </c>
      <c r="G196" s="31">
        <v>15015</v>
      </c>
      <c r="H196" s="31">
        <v>15015</v>
      </c>
      <c r="I196" s="31">
        <v>0</v>
      </c>
      <c r="J196" s="31" t="s">
        <v>95</v>
      </c>
    </row>
    <row r="197" spans="1:10" s="31" customFormat="1" x14ac:dyDescent="0.4">
      <c r="A197" s="38">
        <v>43994</v>
      </c>
      <c r="B197" s="31" t="s">
        <v>214</v>
      </c>
      <c r="C197" s="31" t="s">
        <v>93</v>
      </c>
      <c r="D197" s="31" t="s">
        <v>94</v>
      </c>
      <c r="E197" s="31">
        <v>8467</v>
      </c>
      <c r="F197" s="31">
        <v>0</v>
      </c>
      <c r="G197" s="31">
        <v>8467</v>
      </c>
      <c r="H197" s="31">
        <v>8467</v>
      </c>
      <c r="I197" s="31">
        <v>0</v>
      </c>
      <c r="J197" s="31" t="s">
        <v>95</v>
      </c>
    </row>
    <row r="198" spans="1:10" s="31" customFormat="1" x14ac:dyDescent="0.4">
      <c r="A198" s="38">
        <v>43993</v>
      </c>
      <c r="B198" s="31" t="s">
        <v>112</v>
      </c>
      <c r="C198" s="31" t="s">
        <v>93</v>
      </c>
      <c r="D198" s="31" t="s">
        <v>94</v>
      </c>
      <c r="E198" s="31">
        <v>3420</v>
      </c>
      <c r="F198" s="31">
        <v>0</v>
      </c>
      <c r="G198" s="31">
        <v>3420</v>
      </c>
      <c r="H198" s="31">
        <v>3420</v>
      </c>
      <c r="I198" s="31">
        <v>0</v>
      </c>
      <c r="J198" s="31" t="s">
        <v>95</v>
      </c>
    </row>
    <row r="199" spans="1:10" s="31" customFormat="1" x14ac:dyDescent="0.4">
      <c r="A199" s="38">
        <v>43993</v>
      </c>
      <c r="B199" s="31" t="s">
        <v>211</v>
      </c>
      <c r="C199" s="31" t="s">
        <v>93</v>
      </c>
      <c r="D199" s="31" t="s">
        <v>94</v>
      </c>
      <c r="E199" s="31">
        <v>1628</v>
      </c>
      <c r="F199" s="31">
        <v>0</v>
      </c>
      <c r="G199" s="31">
        <v>1628</v>
      </c>
      <c r="H199" s="31">
        <v>1628</v>
      </c>
      <c r="I199" s="31">
        <v>0</v>
      </c>
      <c r="J199" s="31" t="s">
        <v>95</v>
      </c>
    </row>
    <row r="200" spans="1:10" s="31" customFormat="1" x14ac:dyDescent="0.4">
      <c r="A200" s="38">
        <v>43992</v>
      </c>
      <c r="B200" s="31" t="s">
        <v>215</v>
      </c>
      <c r="C200" s="31" t="s">
        <v>93</v>
      </c>
      <c r="D200" s="31" t="s">
        <v>94</v>
      </c>
      <c r="E200" s="31">
        <v>715</v>
      </c>
      <c r="F200" s="31">
        <v>0</v>
      </c>
      <c r="G200" s="31">
        <v>715</v>
      </c>
      <c r="H200" s="31">
        <v>715</v>
      </c>
      <c r="I200" s="31">
        <v>0</v>
      </c>
      <c r="J200" s="31" t="s">
        <v>95</v>
      </c>
    </row>
    <row r="201" spans="1:10" s="31" customFormat="1" x14ac:dyDescent="0.4">
      <c r="A201" s="38">
        <v>43992</v>
      </c>
      <c r="B201" s="31" t="s">
        <v>216</v>
      </c>
      <c r="C201" s="31" t="s">
        <v>93</v>
      </c>
      <c r="D201" s="31" t="s">
        <v>94</v>
      </c>
      <c r="E201" s="31">
        <v>220</v>
      </c>
      <c r="F201" s="31">
        <v>0</v>
      </c>
      <c r="G201" s="31">
        <v>220</v>
      </c>
      <c r="H201" s="31">
        <v>220</v>
      </c>
      <c r="I201" s="31">
        <v>0</v>
      </c>
      <c r="J201" s="31" t="s">
        <v>95</v>
      </c>
    </row>
    <row r="202" spans="1:10" s="31" customFormat="1" x14ac:dyDescent="0.4">
      <c r="A202" s="38">
        <v>43988</v>
      </c>
      <c r="B202" s="31" t="s">
        <v>217</v>
      </c>
      <c r="C202" s="31" t="s">
        <v>93</v>
      </c>
      <c r="D202" s="31" t="s">
        <v>94</v>
      </c>
      <c r="E202" s="31">
        <v>599</v>
      </c>
      <c r="F202" s="31">
        <v>0</v>
      </c>
      <c r="G202" s="31">
        <v>599</v>
      </c>
      <c r="H202" s="31">
        <v>599</v>
      </c>
      <c r="I202" s="31">
        <v>0</v>
      </c>
      <c r="J202" s="31" t="s">
        <v>95</v>
      </c>
    </row>
    <row r="203" spans="1:10" s="31" customFormat="1" x14ac:dyDescent="0.4">
      <c r="A203" s="38">
        <v>43987</v>
      </c>
      <c r="B203" s="31" t="s">
        <v>212</v>
      </c>
      <c r="C203" s="31" t="s">
        <v>93</v>
      </c>
      <c r="D203" s="31" t="s">
        <v>94</v>
      </c>
      <c r="E203" s="31">
        <v>16310</v>
      </c>
      <c r="F203" s="31">
        <v>0</v>
      </c>
      <c r="G203" s="31">
        <v>16310</v>
      </c>
      <c r="H203" s="31">
        <v>16310</v>
      </c>
      <c r="I203" s="31">
        <v>0</v>
      </c>
      <c r="J203" s="31" t="s">
        <v>95</v>
      </c>
    </row>
    <row r="204" spans="1:10" s="31" customFormat="1" x14ac:dyDescent="0.4">
      <c r="A204" s="38">
        <v>43983</v>
      </c>
      <c r="B204" s="31" t="s">
        <v>117</v>
      </c>
      <c r="C204" s="31" t="s">
        <v>93</v>
      </c>
      <c r="D204" s="31" t="s">
        <v>94</v>
      </c>
      <c r="E204" s="31">
        <v>748</v>
      </c>
      <c r="F204" s="31">
        <v>0</v>
      </c>
      <c r="G204" s="31">
        <v>748</v>
      </c>
      <c r="H204" s="31">
        <v>748</v>
      </c>
      <c r="I204" s="31">
        <v>0</v>
      </c>
      <c r="J204" s="31" t="s">
        <v>95</v>
      </c>
    </row>
    <row r="205" spans="1:10" s="31" customFormat="1" x14ac:dyDescent="0.4">
      <c r="A205" s="38">
        <v>43982</v>
      </c>
      <c r="B205" s="31" t="s">
        <v>200</v>
      </c>
      <c r="C205" s="31" t="s">
        <v>93</v>
      </c>
      <c r="D205" s="31" t="s">
        <v>94</v>
      </c>
      <c r="E205" s="31">
        <v>1466</v>
      </c>
      <c r="F205" s="31">
        <v>0</v>
      </c>
      <c r="G205" s="31">
        <v>1466</v>
      </c>
      <c r="H205" s="31">
        <v>1466</v>
      </c>
      <c r="I205" s="31">
        <v>0</v>
      </c>
      <c r="J205" s="31" t="s">
        <v>95</v>
      </c>
    </row>
    <row r="206" spans="1:10" s="31" customFormat="1" x14ac:dyDescent="0.4">
      <c r="A206" s="38">
        <v>43982</v>
      </c>
      <c r="B206" s="31" t="s">
        <v>200</v>
      </c>
      <c r="C206" s="31" t="s">
        <v>93</v>
      </c>
      <c r="D206" s="31" t="s">
        <v>94</v>
      </c>
      <c r="E206" s="31">
        <v>3249</v>
      </c>
      <c r="F206" s="31">
        <v>0</v>
      </c>
      <c r="G206" s="31">
        <v>3249</v>
      </c>
      <c r="H206" s="31">
        <v>3249</v>
      </c>
      <c r="I206" s="31">
        <v>0</v>
      </c>
      <c r="J206" s="31" t="s">
        <v>95</v>
      </c>
    </row>
    <row r="207" spans="1:10" s="31" customFormat="1" x14ac:dyDescent="0.4">
      <c r="A207" s="38">
        <v>43982</v>
      </c>
      <c r="B207" s="31" t="s">
        <v>118</v>
      </c>
      <c r="C207" s="31" t="s">
        <v>93</v>
      </c>
      <c r="D207" s="31" t="s">
        <v>94</v>
      </c>
      <c r="E207" s="31">
        <v>3300</v>
      </c>
      <c r="F207" s="31">
        <v>0</v>
      </c>
      <c r="G207" s="31">
        <v>3300</v>
      </c>
      <c r="H207" s="31">
        <v>3300</v>
      </c>
      <c r="I207" s="31">
        <v>0</v>
      </c>
      <c r="J207" s="31" t="s">
        <v>95</v>
      </c>
    </row>
    <row r="208" spans="1:10" s="31" customFormat="1" x14ac:dyDescent="0.4">
      <c r="A208" s="38">
        <v>43977</v>
      </c>
      <c r="B208" s="31" t="s">
        <v>218</v>
      </c>
      <c r="C208" s="31" t="s">
        <v>93</v>
      </c>
      <c r="D208" s="31" t="s">
        <v>94</v>
      </c>
      <c r="E208" s="31">
        <v>8177</v>
      </c>
      <c r="F208" s="31">
        <v>0</v>
      </c>
      <c r="G208" s="31">
        <v>8177</v>
      </c>
      <c r="H208" s="31">
        <v>8177</v>
      </c>
      <c r="I208" s="31">
        <v>0</v>
      </c>
      <c r="J208" s="31" t="s">
        <v>95</v>
      </c>
    </row>
    <row r="209" spans="1:10" s="31" customFormat="1" x14ac:dyDescent="0.4">
      <c r="A209" s="38">
        <v>44043</v>
      </c>
      <c r="B209" s="31" t="s">
        <v>96</v>
      </c>
      <c r="C209" s="31" t="s">
        <v>93</v>
      </c>
      <c r="D209" s="31" t="s">
        <v>94</v>
      </c>
      <c r="E209" s="31">
        <v>8760</v>
      </c>
      <c r="F209" s="31">
        <v>0</v>
      </c>
      <c r="G209" s="31">
        <v>8760</v>
      </c>
      <c r="H209" s="31">
        <v>8760</v>
      </c>
      <c r="I209" s="31">
        <v>0</v>
      </c>
      <c r="J209" s="31" t="s">
        <v>95</v>
      </c>
    </row>
    <row r="210" spans="1:10" s="31" customFormat="1" x14ac:dyDescent="0.4">
      <c r="A210" s="38">
        <v>44041</v>
      </c>
      <c r="B210" s="31" t="s">
        <v>96</v>
      </c>
      <c r="C210" s="31" t="s">
        <v>93</v>
      </c>
      <c r="D210" s="31" t="s">
        <v>94</v>
      </c>
      <c r="E210" s="31">
        <v>1300</v>
      </c>
      <c r="F210" s="31">
        <v>0</v>
      </c>
      <c r="G210" s="31">
        <v>1300</v>
      </c>
      <c r="H210" s="31">
        <v>1300</v>
      </c>
      <c r="I210" s="31">
        <v>0</v>
      </c>
      <c r="J210" s="31" t="s">
        <v>95</v>
      </c>
    </row>
    <row r="211" spans="1:10" s="31" customFormat="1" x14ac:dyDescent="0.4">
      <c r="A211" s="38">
        <v>44041</v>
      </c>
      <c r="B211" s="31" t="s">
        <v>219</v>
      </c>
      <c r="C211" s="31" t="s">
        <v>93</v>
      </c>
      <c r="D211" s="31" t="s">
        <v>94</v>
      </c>
      <c r="E211" s="31">
        <v>143100</v>
      </c>
      <c r="F211" s="31">
        <v>0</v>
      </c>
      <c r="G211" s="31">
        <v>143100</v>
      </c>
      <c r="H211" s="31">
        <v>143100</v>
      </c>
      <c r="I211" s="31">
        <v>0</v>
      </c>
      <c r="J211" s="31" t="s">
        <v>95</v>
      </c>
    </row>
    <row r="212" spans="1:10" s="31" customFormat="1" x14ac:dyDescent="0.4">
      <c r="A212" s="38">
        <v>44040</v>
      </c>
      <c r="B212" s="31" t="s">
        <v>96</v>
      </c>
      <c r="C212" s="31" t="s">
        <v>93</v>
      </c>
      <c r="D212" s="31" t="s">
        <v>94</v>
      </c>
      <c r="E212" s="31">
        <v>4378</v>
      </c>
      <c r="F212" s="31">
        <v>0</v>
      </c>
      <c r="G212" s="31">
        <v>4378</v>
      </c>
      <c r="H212" s="31">
        <v>4378</v>
      </c>
      <c r="I212" s="31">
        <v>0</v>
      </c>
      <c r="J212" s="31" t="s">
        <v>95</v>
      </c>
    </row>
    <row r="213" spans="1:10" s="31" customFormat="1" x14ac:dyDescent="0.4">
      <c r="A213" s="38">
        <v>44033</v>
      </c>
      <c r="B213" s="31" t="s">
        <v>114</v>
      </c>
      <c r="C213" s="31" t="s">
        <v>93</v>
      </c>
      <c r="D213" s="31" t="s">
        <v>94</v>
      </c>
      <c r="E213" s="31">
        <v>2528</v>
      </c>
      <c r="F213" s="31">
        <v>0</v>
      </c>
      <c r="G213" s="31">
        <v>2528</v>
      </c>
      <c r="H213" s="31">
        <v>2528</v>
      </c>
      <c r="I213" s="31">
        <v>0</v>
      </c>
      <c r="J213" s="31" t="s">
        <v>95</v>
      </c>
    </row>
    <row r="214" spans="1:10" s="31" customFormat="1" x14ac:dyDescent="0.4">
      <c r="A214" s="38">
        <v>44033</v>
      </c>
      <c r="B214" s="31" t="s">
        <v>96</v>
      </c>
      <c r="C214" s="31" t="s">
        <v>93</v>
      </c>
      <c r="D214" s="31" t="s">
        <v>94</v>
      </c>
      <c r="E214" s="31">
        <v>7960</v>
      </c>
      <c r="F214" s="31">
        <v>0</v>
      </c>
      <c r="G214" s="31">
        <v>7960</v>
      </c>
      <c r="H214" s="31">
        <v>7960</v>
      </c>
      <c r="I214" s="31">
        <v>0</v>
      </c>
      <c r="J214" s="31" t="s">
        <v>95</v>
      </c>
    </row>
    <row r="215" spans="1:10" s="31" customFormat="1" x14ac:dyDescent="0.4">
      <c r="A215" s="38">
        <v>44033</v>
      </c>
      <c r="B215" s="31" t="s">
        <v>96</v>
      </c>
      <c r="C215" s="31" t="s">
        <v>93</v>
      </c>
      <c r="D215" s="31" t="s">
        <v>94</v>
      </c>
      <c r="E215" s="31">
        <v>2910</v>
      </c>
      <c r="F215" s="31">
        <v>0</v>
      </c>
      <c r="G215" s="31">
        <v>2910</v>
      </c>
      <c r="H215" s="31">
        <v>2910</v>
      </c>
      <c r="I215" s="31">
        <v>0</v>
      </c>
      <c r="J215" s="31" t="s">
        <v>95</v>
      </c>
    </row>
    <row r="216" spans="1:10" s="31" customFormat="1" x14ac:dyDescent="0.4">
      <c r="A216" s="38">
        <v>44032</v>
      </c>
      <c r="B216" s="31" t="s">
        <v>96</v>
      </c>
      <c r="C216" s="31" t="s">
        <v>93</v>
      </c>
      <c r="D216" s="31" t="s">
        <v>94</v>
      </c>
      <c r="E216" s="31">
        <v>9900</v>
      </c>
      <c r="F216" s="31">
        <v>0</v>
      </c>
      <c r="G216" s="31">
        <v>9900</v>
      </c>
      <c r="H216" s="31">
        <v>9900</v>
      </c>
      <c r="I216" s="31">
        <v>0</v>
      </c>
      <c r="J216" s="31" t="s">
        <v>95</v>
      </c>
    </row>
    <row r="217" spans="1:10" s="31" customFormat="1" x14ac:dyDescent="0.4">
      <c r="A217" s="38">
        <v>44031</v>
      </c>
      <c r="B217" s="31" t="s">
        <v>114</v>
      </c>
      <c r="C217" s="31" t="s">
        <v>93</v>
      </c>
      <c r="D217" s="31" t="s">
        <v>94</v>
      </c>
      <c r="E217" s="31">
        <v>4375</v>
      </c>
      <c r="F217" s="31">
        <v>0</v>
      </c>
      <c r="G217" s="31">
        <v>4375</v>
      </c>
      <c r="H217" s="31">
        <v>4375</v>
      </c>
      <c r="I217" s="31">
        <v>0</v>
      </c>
      <c r="J217" s="31" t="s">
        <v>95</v>
      </c>
    </row>
    <row r="218" spans="1:10" s="31" customFormat="1" x14ac:dyDescent="0.4">
      <c r="A218" s="38">
        <v>44031</v>
      </c>
      <c r="B218" s="31" t="s">
        <v>102</v>
      </c>
      <c r="C218" s="31" t="s">
        <v>93</v>
      </c>
      <c r="D218" s="31" t="s">
        <v>94</v>
      </c>
      <c r="E218" s="31">
        <v>3952</v>
      </c>
      <c r="F218" s="31">
        <v>0</v>
      </c>
      <c r="G218" s="31">
        <v>3952</v>
      </c>
      <c r="H218" s="31">
        <v>3952</v>
      </c>
      <c r="I218" s="31">
        <v>0</v>
      </c>
      <c r="J218" s="31" t="s">
        <v>95</v>
      </c>
    </row>
    <row r="219" spans="1:10" s="31" customFormat="1" x14ac:dyDescent="0.4">
      <c r="A219" s="38">
        <v>44026</v>
      </c>
      <c r="B219" s="31" t="s">
        <v>220</v>
      </c>
      <c r="C219" s="31" t="s">
        <v>93</v>
      </c>
      <c r="D219" s="31" t="s">
        <v>94</v>
      </c>
      <c r="E219" s="31">
        <v>1400</v>
      </c>
      <c r="F219" s="31">
        <v>0</v>
      </c>
      <c r="G219" s="31">
        <v>1400</v>
      </c>
      <c r="H219" s="31">
        <v>1400</v>
      </c>
      <c r="I219" s="31">
        <v>0</v>
      </c>
      <c r="J219" s="31" t="s">
        <v>95</v>
      </c>
    </row>
    <row r="220" spans="1:10" s="31" customFormat="1" x14ac:dyDescent="0.4">
      <c r="A220" s="38">
        <v>44025</v>
      </c>
      <c r="B220" s="31" t="s">
        <v>112</v>
      </c>
      <c r="C220" s="31" t="s">
        <v>93</v>
      </c>
      <c r="D220" s="31" t="s">
        <v>94</v>
      </c>
      <c r="E220" s="31">
        <v>3420</v>
      </c>
      <c r="F220" s="31">
        <v>0</v>
      </c>
      <c r="G220" s="31">
        <v>3420</v>
      </c>
      <c r="H220" s="31">
        <v>3420</v>
      </c>
      <c r="I220" s="31">
        <v>0</v>
      </c>
      <c r="J220" s="31" t="s">
        <v>95</v>
      </c>
    </row>
    <row r="221" spans="1:10" s="31" customFormat="1" x14ac:dyDescent="0.4">
      <c r="A221" s="38">
        <v>44025</v>
      </c>
      <c r="B221" s="31" t="s">
        <v>214</v>
      </c>
      <c r="C221" s="31" t="s">
        <v>93</v>
      </c>
      <c r="D221" s="31" t="s">
        <v>94</v>
      </c>
      <c r="E221" s="31">
        <v>8393</v>
      </c>
      <c r="F221" s="31">
        <v>0</v>
      </c>
      <c r="G221" s="31">
        <v>8393</v>
      </c>
      <c r="H221" s="31">
        <v>8393</v>
      </c>
      <c r="I221" s="31">
        <v>0</v>
      </c>
      <c r="J221" s="31" t="s">
        <v>95</v>
      </c>
    </row>
    <row r="222" spans="1:10" s="31" customFormat="1" x14ac:dyDescent="0.4">
      <c r="A222" s="38">
        <v>44024</v>
      </c>
      <c r="B222" s="31" t="s">
        <v>221</v>
      </c>
      <c r="C222" s="31" t="s">
        <v>93</v>
      </c>
      <c r="D222" s="31" t="s">
        <v>94</v>
      </c>
      <c r="E222" s="31">
        <v>11200</v>
      </c>
      <c r="F222" s="31">
        <v>0</v>
      </c>
      <c r="G222" s="31">
        <v>11200</v>
      </c>
      <c r="H222" s="31">
        <v>11200</v>
      </c>
      <c r="I222" s="31">
        <v>0</v>
      </c>
      <c r="J222" s="31" t="s">
        <v>95</v>
      </c>
    </row>
    <row r="223" spans="1:10" s="31" customFormat="1" x14ac:dyDescent="0.4">
      <c r="A223" s="38">
        <v>44022</v>
      </c>
      <c r="B223" s="31" t="s">
        <v>114</v>
      </c>
      <c r="C223" s="31" t="s">
        <v>93</v>
      </c>
      <c r="D223" s="31" t="s">
        <v>94</v>
      </c>
      <c r="E223" s="31">
        <v>1559</v>
      </c>
      <c r="F223" s="31">
        <v>0</v>
      </c>
      <c r="G223" s="31">
        <v>1559</v>
      </c>
      <c r="H223" s="31">
        <v>1559</v>
      </c>
      <c r="I223" s="31">
        <v>0</v>
      </c>
      <c r="J223" s="31" t="s">
        <v>95</v>
      </c>
    </row>
    <row r="224" spans="1:10" s="31" customFormat="1" x14ac:dyDescent="0.4">
      <c r="A224" s="38">
        <v>44021</v>
      </c>
      <c r="B224" s="31" t="s">
        <v>96</v>
      </c>
      <c r="C224" s="31" t="s">
        <v>93</v>
      </c>
      <c r="D224" s="31" t="s">
        <v>94</v>
      </c>
      <c r="E224" s="31">
        <v>1280</v>
      </c>
      <c r="F224" s="31">
        <v>0</v>
      </c>
      <c r="G224" s="31">
        <v>1280</v>
      </c>
      <c r="H224" s="31">
        <v>1280</v>
      </c>
      <c r="I224" s="31">
        <v>0</v>
      </c>
      <c r="J224" s="31" t="s">
        <v>95</v>
      </c>
    </row>
    <row r="225" spans="1:10" s="31" customFormat="1" x14ac:dyDescent="0.4">
      <c r="A225" s="38">
        <v>44020</v>
      </c>
      <c r="B225" s="31" t="s">
        <v>96</v>
      </c>
      <c r="C225" s="31" t="s">
        <v>93</v>
      </c>
      <c r="D225" s="31" t="s">
        <v>94</v>
      </c>
      <c r="E225" s="31">
        <v>3248</v>
      </c>
      <c r="F225" s="31">
        <v>0</v>
      </c>
      <c r="G225" s="31">
        <v>3248</v>
      </c>
      <c r="H225" s="31">
        <v>3248</v>
      </c>
      <c r="I225" s="31">
        <v>0</v>
      </c>
      <c r="J225" s="31" t="s">
        <v>95</v>
      </c>
    </row>
    <row r="226" spans="1:10" s="31" customFormat="1" x14ac:dyDescent="0.4">
      <c r="A226" s="38">
        <v>44018</v>
      </c>
      <c r="B226" s="31" t="s">
        <v>222</v>
      </c>
      <c r="C226" s="31" t="s">
        <v>93</v>
      </c>
      <c r="D226" s="31" t="s">
        <v>94</v>
      </c>
      <c r="E226" s="31">
        <v>2370</v>
      </c>
      <c r="F226" s="31">
        <v>0</v>
      </c>
      <c r="G226" s="31">
        <v>2370</v>
      </c>
      <c r="H226" s="31">
        <v>2370</v>
      </c>
      <c r="I226" s="31">
        <v>0</v>
      </c>
      <c r="J226" s="31" t="s">
        <v>95</v>
      </c>
    </row>
    <row r="227" spans="1:10" s="31" customFormat="1" x14ac:dyDescent="0.4">
      <c r="A227" s="38">
        <v>44016</v>
      </c>
      <c r="B227" s="31" t="s">
        <v>96</v>
      </c>
      <c r="C227" s="31" t="s">
        <v>93</v>
      </c>
      <c r="D227" s="31" t="s">
        <v>94</v>
      </c>
      <c r="E227" s="31">
        <v>1036</v>
      </c>
      <c r="F227" s="31">
        <v>0</v>
      </c>
      <c r="G227" s="31">
        <v>1036</v>
      </c>
      <c r="H227" s="31">
        <v>1036</v>
      </c>
      <c r="I227" s="31">
        <v>0</v>
      </c>
      <c r="J227" s="31" t="s">
        <v>95</v>
      </c>
    </row>
    <row r="228" spans="1:10" s="31" customFormat="1" x14ac:dyDescent="0.4">
      <c r="A228" s="38">
        <v>44013</v>
      </c>
      <c r="B228" s="31" t="s">
        <v>117</v>
      </c>
      <c r="C228" s="31" t="s">
        <v>93</v>
      </c>
      <c r="D228" s="31" t="s">
        <v>94</v>
      </c>
      <c r="E228" s="31">
        <v>748</v>
      </c>
      <c r="F228" s="31">
        <v>0</v>
      </c>
      <c r="G228" s="31">
        <v>748</v>
      </c>
      <c r="H228" s="31">
        <v>748</v>
      </c>
      <c r="I228" s="31">
        <v>0</v>
      </c>
      <c r="J228" s="31" t="s">
        <v>95</v>
      </c>
    </row>
    <row r="229" spans="1:10" s="31" customFormat="1" x14ac:dyDescent="0.4">
      <c r="A229" s="38">
        <v>44013</v>
      </c>
      <c r="B229" s="31" t="s">
        <v>187</v>
      </c>
      <c r="C229" s="31" t="s">
        <v>93</v>
      </c>
      <c r="D229" s="31" t="s">
        <v>94</v>
      </c>
      <c r="E229" s="31">
        <v>8899</v>
      </c>
      <c r="F229" s="31">
        <v>0</v>
      </c>
      <c r="G229" s="31">
        <v>8899</v>
      </c>
      <c r="H229" s="31">
        <v>8899</v>
      </c>
      <c r="I229" s="31">
        <v>0</v>
      </c>
      <c r="J229" s="31" t="s">
        <v>95</v>
      </c>
    </row>
    <row r="230" spans="1:10" s="31" customFormat="1" x14ac:dyDescent="0.4">
      <c r="A230" s="38">
        <v>44012</v>
      </c>
      <c r="B230" s="31" t="s">
        <v>200</v>
      </c>
      <c r="C230" s="31" t="s">
        <v>93</v>
      </c>
      <c r="D230" s="31" t="s">
        <v>94</v>
      </c>
      <c r="E230" s="31">
        <v>1466</v>
      </c>
      <c r="F230" s="31">
        <v>0</v>
      </c>
      <c r="G230" s="31">
        <v>1466</v>
      </c>
      <c r="H230" s="31">
        <v>1466</v>
      </c>
      <c r="I230" s="31">
        <v>0</v>
      </c>
      <c r="J230" s="31" t="s">
        <v>95</v>
      </c>
    </row>
    <row r="231" spans="1:10" s="31" customFormat="1" x14ac:dyDescent="0.4">
      <c r="A231" s="38">
        <v>44012</v>
      </c>
      <c r="B231" s="31" t="s">
        <v>200</v>
      </c>
      <c r="C231" s="31" t="s">
        <v>93</v>
      </c>
      <c r="D231" s="31" t="s">
        <v>94</v>
      </c>
      <c r="E231" s="31">
        <v>3249</v>
      </c>
      <c r="F231" s="31">
        <v>0</v>
      </c>
      <c r="G231" s="31">
        <v>3249</v>
      </c>
      <c r="H231" s="31">
        <v>3249</v>
      </c>
      <c r="I231" s="31">
        <v>0</v>
      </c>
      <c r="J231" s="31" t="s">
        <v>95</v>
      </c>
    </row>
    <row r="232" spans="1:10" s="31" customFormat="1" x14ac:dyDescent="0.4">
      <c r="A232" s="38">
        <v>44012</v>
      </c>
      <c r="B232" s="31" t="s">
        <v>223</v>
      </c>
      <c r="C232" s="31" t="s">
        <v>93</v>
      </c>
      <c r="D232" s="31" t="s">
        <v>94</v>
      </c>
      <c r="E232" s="31">
        <v>500</v>
      </c>
      <c r="F232" s="31">
        <v>0</v>
      </c>
      <c r="G232" s="31">
        <v>500</v>
      </c>
      <c r="H232" s="31">
        <v>500</v>
      </c>
      <c r="I232" s="31">
        <v>0</v>
      </c>
      <c r="J232" s="31" t="s">
        <v>95</v>
      </c>
    </row>
    <row r="233" spans="1:10" s="31" customFormat="1" x14ac:dyDescent="0.4">
      <c r="A233" s="38">
        <v>44007</v>
      </c>
      <c r="B233" s="31" t="s">
        <v>224</v>
      </c>
      <c r="C233" s="31" t="s">
        <v>93</v>
      </c>
      <c r="D233" s="31" t="s">
        <v>94</v>
      </c>
      <c r="E233" s="31">
        <v>5835</v>
      </c>
      <c r="F233" s="31">
        <v>0</v>
      </c>
      <c r="G233" s="31">
        <v>5835</v>
      </c>
      <c r="H233" s="31">
        <v>5835</v>
      </c>
      <c r="I233" s="31">
        <v>0</v>
      </c>
      <c r="J233" s="31" t="s">
        <v>95</v>
      </c>
    </row>
    <row r="234" spans="1:10" s="31" customFormat="1" x14ac:dyDescent="0.4">
      <c r="A234" s="38">
        <v>44074</v>
      </c>
      <c r="B234" s="31" t="s">
        <v>96</v>
      </c>
      <c r="C234" s="31" t="s">
        <v>93</v>
      </c>
      <c r="D234" s="31" t="s">
        <v>94</v>
      </c>
      <c r="E234" s="31">
        <v>4388</v>
      </c>
      <c r="F234" s="31">
        <v>0</v>
      </c>
      <c r="G234" s="31">
        <v>4388</v>
      </c>
      <c r="H234" s="31">
        <v>4388</v>
      </c>
      <c r="I234" s="31">
        <v>0</v>
      </c>
      <c r="J234" s="31" t="s">
        <v>95</v>
      </c>
    </row>
    <row r="235" spans="1:10" s="31" customFormat="1" x14ac:dyDescent="0.4">
      <c r="A235" s="38">
        <v>44074</v>
      </c>
      <c r="B235" s="31" t="s">
        <v>96</v>
      </c>
      <c r="C235" s="31" t="s">
        <v>93</v>
      </c>
      <c r="D235" s="31" t="s">
        <v>94</v>
      </c>
      <c r="E235" s="31">
        <v>1540</v>
      </c>
      <c r="F235" s="31">
        <v>0</v>
      </c>
      <c r="G235" s="31">
        <v>1540</v>
      </c>
      <c r="H235" s="31">
        <v>1540</v>
      </c>
      <c r="I235" s="31">
        <v>0</v>
      </c>
      <c r="J235" s="31" t="s">
        <v>95</v>
      </c>
    </row>
    <row r="236" spans="1:10" s="31" customFormat="1" x14ac:dyDescent="0.4">
      <c r="A236" s="38">
        <v>44074</v>
      </c>
      <c r="B236" s="31" t="s">
        <v>102</v>
      </c>
      <c r="C236" s="31" t="s">
        <v>93</v>
      </c>
      <c r="D236" s="31" t="s">
        <v>94</v>
      </c>
      <c r="E236" s="31">
        <v>4168</v>
      </c>
      <c r="F236" s="31">
        <v>0</v>
      </c>
      <c r="G236" s="31">
        <v>4168</v>
      </c>
      <c r="H236" s="31">
        <v>4168</v>
      </c>
      <c r="I236" s="31">
        <v>0</v>
      </c>
      <c r="J236" s="31" t="s">
        <v>95</v>
      </c>
    </row>
    <row r="237" spans="1:10" s="31" customFormat="1" x14ac:dyDescent="0.4">
      <c r="A237" s="38">
        <v>44072</v>
      </c>
      <c r="B237" s="31" t="s">
        <v>104</v>
      </c>
      <c r="C237" s="31" t="s">
        <v>93</v>
      </c>
      <c r="D237" s="31" t="s">
        <v>94</v>
      </c>
      <c r="E237" s="31">
        <v>2252</v>
      </c>
      <c r="F237" s="31">
        <v>0</v>
      </c>
      <c r="G237" s="31">
        <v>2252</v>
      </c>
      <c r="H237" s="31">
        <v>2252</v>
      </c>
      <c r="I237" s="31">
        <v>0</v>
      </c>
      <c r="J237" s="31" t="s">
        <v>95</v>
      </c>
    </row>
    <row r="238" spans="1:10" s="31" customFormat="1" x14ac:dyDescent="0.4">
      <c r="A238" s="38">
        <v>44065</v>
      </c>
      <c r="B238" s="31" t="s">
        <v>96</v>
      </c>
      <c r="C238" s="31" t="s">
        <v>93</v>
      </c>
      <c r="D238" s="31" t="s">
        <v>94</v>
      </c>
      <c r="E238" s="31">
        <v>6807</v>
      </c>
      <c r="F238" s="31">
        <v>0</v>
      </c>
      <c r="G238" s="31">
        <v>6807</v>
      </c>
      <c r="H238" s="31">
        <v>6807</v>
      </c>
      <c r="I238" s="31">
        <v>0</v>
      </c>
      <c r="J238" s="31" t="s">
        <v>95</v>
      </c>
    </row>
    <row r="239" spans="1:10" s="31" customFormat="1" x14ac:dyDescent="0.4">
      <c r="A239" s="38">
        <v>44065</v>
      </c>
      <c r="B239" s="31" t="s">
        <v>176</v>
      </c>
      <c r="C239" s="31" t="s">
        <v>93</v>
      </c>
      <c r="D239" s="31" t="s">
        <v>94</v>
      </c>
      <c r="E239" s="31">
        <v>874</v>
      </c>
      <c r="F239" s="31">
        <v>0</v>
      </c>
      <c r="G239" s="31">
        <v>874</v>
      </c>
      <c r="H239" s="31">
        <v>874</v>
      </c>
      <c r="I239" s="31">
        <v>0</v>
      </c>
      <c r="J239" s="31" t="s">
        <v>95</v>
      </c>
    </row>
    <row r="240" spans="1:10" s="31" customFormat="1" x14ac:dyDescent="0.4">
      <c r="A240" s="38">
        <v>44058</v>
      </c>
      <c r="B240" s="31" t="s">
        <v>96</v>
      </c>
      <c r="C240" s="31" t="s">
        <v>93</v>
      </c>
      <c r="D240" s="31" t="s">
        <v>94</v>
      </c>
      <c r="E240" s="31">
        <v>6688</v>
      </c>
      <c r="F240" s="31">
        <v>0</v>
      </c>
      <c r="G240" s="31">
        <v>6688</v>
      </c>
      <c r="H240" s="31">
        <v>6688</v>
      </c>
      <c r="I240" s="31">
        <v>0</v>
      </c>
      <c r="J240" s="31" t="s">
        <v>95</v>
      </c>
    </row>
    <row r="241" spans="1:10" s="31" customFormat="1" x14ac:dyDescent="0.4">
      <c r="A241" s="38">
        <v>44057</v>
      </c>
      <c r="B241" s="31" t="s">
        <v>96</v>
      </c>
      <c r="C241" s="31" t="s">
        <v>93</v>
      </c>
      <c r="D241" s="31" t="s">
        <v>94</v>
      </c>
      <c r="E241" s="31">
        <v>2750</v>
      </c>
      <c r="F241" s="31">
        <v>0</v>
      </c>
      <c r="G241" s="31">
        <v>2750</v>
      </c>
      <c r="H241" s="31">
        <v>2750</v>
      </c>
      <c r="I241" s="31">
        <v>0</v>
      </c>
      <c r="J241" s="31" t="s">
        <v>95</v>
      </c>
    </row>
    <row r="242" spans="1:10" s="31" customFormat="1" x14ac:dyDescent="0.4">
      <c r="A242" s="38">
        <v>44056</v>
      </c>
      <c r="B242" s="31" t="s">
        <v>214</v>
      </c>
      <c r="C242" s="31" t="s">
        <v>93</v>
      </c>
      <c r="D242" s="31" t="s">
        <v>94</v>
      </c>
      <c r="E242" s="31">
        <v>9616</v>
      </c>
      <c r="F242" s="31">
        <v>0</v>
      </c>
      <c r="G242" s="31">
        <v>9616</v>
      </c>
      <c r="H242" s="31">
        <v>9616</v>
      </c>
      <c r="I242" s="31">
        <v>0</v>
      </c>
      <c r="J242" s="31" t="s">
        <v>95</v>
      </c>
    </row>
    <row r="243" spans="1:10" s="31" customFormat="1" x14ac:dyDescent="0.4">
      <c r="A243" s="38">
        <v>44055</v>
      </c>
      <c r="B243" s="31" t="s">
        <v>112</v>
      </c>
      <c r="C243" s="31" t="s">
        <v>93</v>
      </c>
      <c r="D243" s="31" t="s">
        <v>94</v>
      </c>
      <c r="E243" s="31">
        <v>3420</v>
      </c>
      <c r="F243" s="31">
        <v>0</v>
      </c>
      <c r="G243" s="31">
        <v>3420</v>
      </c>
      <c r="H243" s="31">
        <v>3420</v>
      </c>
      <c r="I243" s="31">
        <v>0</v>
      </c>
      <c r="J243" s="31" t="s">
        <v>95</v>
      </c>
    </row>
    <row r="244" spans="1:10" s="31" customFormat="1" x14ac:dyDescent="0.4">
      <c r="A244" s="38">
        <v>44055</v>
      </c>
      <c r="B244" s="31" t="s">
        <v>221</v>
      </c>
      <c r="C244" s="31" t="s">
        <v>93</v>
      </c>
      <c r="D244" s="31" t="s">
        <v>94</v>
      </c>
      <c r="E244" s="31">
        <v>4032</v>
      </c>
      <c r="F244" s="31">
        <v>0</v>
      </c>
      <c r="G244" s="31">
        <v>4032</v>
      </c>
      <c r="H244" s="31">
        <v>4032</v>
      </c>
      <c r="I244" s="31">
        <v>0</v>
      </c>
      <c r="J244" s="31" t="s">
        <v>95</v>
      </c>
    </row>
    <row r="245" spans="1:10" s="31" customFormat="1" x14ac:dyDescent="0.4">
      <c r="A245" s="38">
        <v>44054</v>
      </c>
      <c r="B245" s="31" t="s">
        <v>96</v>
      </c>
      <c r="C245" s="31" t="s">
        <v>93</v>
      </c>
      <c r="D245" s="31" t="s">
        <v>94</v>
      </c>
      <c r="E245" s="31">
        <v>17520</v>
      </c>
      <c r="F245" s="31">
        <v>0</v>
      </c>
      <c r="G245" s="31">
        <v>17520</v>
      </c>
      <c r="H245" s="31">
        <v>17520</v>
      </c>
      <c r="I245" s="31">
        <v>0</v>
      </c>
      <c r="J245" s="31" t="s">
        <v>95</v>
      </c>
    </row>
    <row r="246" spans="1:10" s="31" customFormat="1" x14ac:dyDescent="0.4">
      <c r="A246" s="38">
        <v>44051</v>
      </c>
      <c r="B246" s="31" t="s">
        <v>196</v>
      </c>
      <c r="C246" s="31" t="s">
        <v>93</v>
      </c>
      <c r="D246" s="31" t="s">
        <v>94</v>
      </c>
      <c r="E246" s="31">
        <v>1500</v>
      </c>
      <c r="F246" s="31">
        <v>0</v>
      </c>
      <c r="G246" s="31">
        <v>1500</v>
      </c>
      <c r="H246" s="31">
        <v>1500</v>
      </c>
      <c r="I246" s="31">
        <v>0</v>
      </c>
      <c r="J246" s="31" t="s">
        <v>95</v>
      </c>
    </row>
    <row r="247" spans="1:10" s="31" customFormat="1" x14ac:dyDescent="0.4">
      <c r="A247" s="38">
        <v>44051</v>
      </c>
      <c r="B247" s="31" t="s">
        <v>196</v>
      </c>
      <c r="C247" s="31" t="s">
        <v>93</v>
      </c>
      <c r="D247" s="31" t="s">
        <v>94</v>
      </c>
      <c r="E247" s="31">
        <v>2480</v>
      </c>
      <c r="F247" s="31">
        <v>0</v>
      </c>
      <c r="G247" s="31">
        <v>2480</v>
      </c>
      <c r="H247" s="31">
        <v>2480</v>
      </c>
      <c r="I247" s="31">
        <v>0</v>
      </c>
      <c r="J247" s="31" t="s">
        <v>95</v>
      </c>
    </row>
    <row r="248" spans="1:10" s="31" customFormat="1" x14ac:dyDescent="0.4">
      <c r="A248" s="38">
        <v>44045</v>
      </c>
      <c r="B248" s="31" t="s">
        <v>117</v>
      </c>
      <c r="C248" s="31" t="s">
        <v>93</v>
      </c>
      <c r="D248" s="31" t="s">
        <v>94</v>
      </c>
      <c r="E248" s="31">
        <v>748</v>
      </c>
      <c r="F248" s="31">
        <v>0</v>
      </c>
      <c r="G248" s="31">
        <v>748</v>
      </c>
      <c r="H248" s="31">
        <v>748</v>
      </c>
      <c r="I248" s="31">
        <v>0</v>
      </c>
      <c r="J248" s="31" t="s">
        <v>95</v>
      </c>
    </row>
    <row r="249" spans="1:10" s="31" customFormat="1" x14ac:dyDescent="0.4">
      <c r="A249" s="38">
        <v>44044</v>
      </c>
      <c r="B249" s="31" t="s">
        <v>211</v>
      </c>
      <c r="C249" s="31" t="s">
        <v>93</v>
      </c>
      <c r="D249" s="31" t="s">
        <v>94</v>
      </c>
      <c r="E249" s="31">
        <v>3124</v>
      </c>
      <c r="F249" s="31">
        <v>0</v>
      </c>
      <c r="G249" s="31">
        <v>3124</v>
      </c>
      <c r="H249" s="31">
        <v>3124</v>
      </c>
      <c r="I249" s="31">
        <v>0</v>
      </c>
      <c r="J249" s="31" t="s">
        <v>95</v>
      </c>
    </row>
    <row r="250" spans="1:10" s="31" customFormat="1" x14ac:dyDescent="0.4">
      <c r="A250" s="38">
        <v>44043</v>
      </c>
      <c r="B250" s="31" t="s">
        <v>200</v>
      </c>
      <c r="C250" s="31" t="s">
        <v>93</v>
      </c>
      <c r="D250" s="31" t="s">
        <v>94</v>
      </c>
      <c r="E250" s="31">
        <v>1466</v>
      </c>
      <c r="F250" s="31">
        <v>0</v>
      </c>
      <c r="G250" s="31">
        <v>1466</v>
      </c>
      <c r="H250" s="31">
        <v>1466</v>
      </c>
      <c r="I250" s="31">
        <v>0</v>
      </c>
      <c r="J250" s="31" t="s">
        <v>95</v>
      </c>
    </row>
    <row r="251" spans="1:10" s="31" customFormat="1" x14ac:dyDescent="0.4">
      <c r="A251" s="38">
        <v>44043</v>
      </c>
      <c r="B251" s="31" t="s">
        <v>200</v>
      </c>
      <c r="C251" s="31" t="s">
        <v>93</v>
      </c>
      <c r="D251" s="31" t="s">
        <v>94</v>
      </c>
      <c r="E251" s="31">
        <v>3249</v>
      </c>
      <c r="F251" s="31">
        <v>0</v>
      </c>
      <c r="G251" s="31">
        <v>3249</v>
      </c>
      <c r="H251" s="31">
        <v>3249</v>
      </c>
      <c r="I251" s="31">
        <v>0</v>
      </c>
      <c r="J251" s="31" t="s">
        <v>95</v>
      </c>
    </row>
    <row r="252" spans="1:10" s="31" customFormat="1" x14ac:dyDescent="0.4">
      <c r="A252" s="38">
        <v>44043</v>
      </c>
      <c r="B252" s="31" t="s">
        <v>223</v>
      </c>
      <c r="C252" s="31" t="s">
        <v>93</v>
      </c>
      <c r="D252" s="31" t="s">
        <v>94</v>
      </c>
      <c r="E252" s="31">
        <v>500</v>
      </c>
      <c r="F252" s="31">
        <v>0</v>
      </c>
      <c r="G252" s="31">
        <v>500</v>
      </c>
      <c r="H252" s="31">
        <v>500</v>
      </c>
      <c r="I252" s="31">
        <v>0</v>
      </c>
      <c r="J252" s="31" t="s">
        <v>95</v>
      </c>
    </row>
    <row r="253" spans="1:10" s="31" customFormat="1" x14ac:dyDescent="0.4">
      <c r="A253" s="38">
        <v>44040</v>
      </c>
      <c r="B253" s="31" t="s">
        <v>225</v>
      </c>
      <c r="C253" s="31" t="s">
        <v>93</v>
      </c>
      <c r="D253" s="31" t="s">
        <v>94</v>
      </c>
      <c r="E253" s="31">
        <v>6508</v>
      </c>
      <c r="F253" s="31">
        <v>0</v>
      </c>
      <c r="G253" s="31">
        <v>6508</v>
      </c>
      <c r="H253" s="31">
        <v>6508</v>
      </c>
      <c r="I253" s="31">
        <v>0</v>
      </c>
      <c r="J253" s="31" t="s">
        <v>95</v>
      </c>
    </row>
    <row r="254" spans="1:10" s="31" customFormat="1" x14ac:dyDescent="0.4">
      <c r="A254" s="38">
        <v>44107</v>
      </c>
      <c r="B254" s="31" t="s">
        <v>226</v>
      </c>
      <c r="C254" s="31" t="s">
        <v>93</v>
      </c>
      <c r="D254" s="31" t="s">
        <v>94</v>
      </c>
      <c r="E254" s="31">
        <v>2200</v>
      </c>
      <c r="F254" s="31">
        <v>0</v>
      </c>
      <c r="G254" s="31">
        <v>2200</v>
      </c>
      <c r="H254" s="31">
        <v>2200</v>
      </c>
      <c r="I254" s="31">
        <v>0</v>
      </c>
      <c r="J254" s="31" t="s">
        <v>95</v>
      </c>
    </row>
    <row r="255" spans="1:10" s="31" customFormat="1" ht="37.5" x14ac:dyDescent="0.4">
      <c r="A255" s="38">
        <v>44101</v>
      </c>
      <c r="B255" s="40" t="s">
        <v>233</v>
      </c>
      <c r="C255" s="31" t="s">
        <v>93</v>
      </c>
      <c r="D255" s="31" t="s">
        <v>94</v>
      </c>
      <c r="E255" s="31">
        <v>990</v>
      </c>
      <c r="F255" s="31">
        <v>0</v>
      </c>
      <c r="G255" s="31">
        <v>990</v>
      </c>
      <c r="H255" s="31">
        <v>990</v>
      </c>
      <c r="I255" s="31">
        <v>0</v>
      </c>
      <c r="J255" s="31" t="s">
        <v>95</v>
      </c>
    </row>
    <row r="256" spans="1:10" s="31" customFormat="1" x14ac:dyDescent="0.4">
      <c r="A256" s="38">
        <v>44098</v>
      </c>
      <c r="B256" s="31" t="s">
        <v>227</v>
      </c>
      <c r="C256" s="31" t="s">
        <v>93</v>
      </c>
      <c r="D256" s="31" t="s">
        <v>94</v>
      </c>
      <c r="E256" s="31">
        <v>10000</v>
      </c>
      <c r="F256" s="31">
        <v>0</v>
      </c>
      <c r="G256" s="31">
        <v>10000</v>
      </c>
      <c r="H256" s="31">
        <v>10000</v>
      </c>
      <c r="I256" s="31">
        <v>0</v>
      </c>
      <c r="J256" s="31" t="s">
        <v>95</v>
      </c>
    </row>
    <row r="257" spans="1:10" s="31" customFormat="1" x14ac:dyDescent="0.4">
      <c r="A257" s="38">
        <v>44097</v>
      </c>
      <c r="B257" s="31" t="s">
        <v>228</v>
      </c>
      <c r="C257" s="31" t="s">
        <v>93</v>
      </c>
      <c r="D257" s="31" t="s">
        <v>94</v>
      </c>
      <c r="E257" s="31">
        <v>10000</v>
      </c>
      <c r="F257" s="31">
        <v>0</v>
      </c>
      <c r="G257" s="31">
        <v>10000</v>
      </c>
      <c r="H257" s="31">
        <v>10000</v>
      </c>
      <c r="I257" s="31">
        <v>0</v>
      </c>
      <c r="J257" s="31" t="s">
        <v>95</v>
      </c>
    </row>
    <row r="258" spans="1:10" s="31" customFormat="1" x14ac:dyDescent="0.4">
      <c r="A258" s="38">
        <v>44095</v>
      </c>
      <c r="B258" s="31" t="s">
        <v>96</v>
      </c>
      <c r="C258" s="31" t="s">
        <v>93</v>
      </c>
      <c r="D258" s="31" t="s">
        <v>94</v>
      </c>
      <c r="E258" s="31">
        <v>1650</v>
      </c>
      <c r="F258" s="31">
        <v>0</v>
      </c>
      <c r="G258" s="31">
        <v>1650</v>
      </c>
      <c r="H258" s="31">
        <v>1650</v>
      </c>
      <c r="I258" s="31">
        <v>0</v>
      </c>
      <c r="J258" s="31" t="s">
        <v>95</v>
      </c>
    </row>
    <row r="259" spans="1:10" s="31" customFormat="1" x14ac:dyDescent="0.4">
      <c r="A259" s="38">
        <v>44095</v>
      </c>
      <c r="B259" s="31" t="s">
        <v>229</v>
      </c>
      <c r="C259" s="31" t="s">
        <v>93</v>
      </c>
      <c r="D259" s="31" t="s">
        <v>94</v>
      </c>
      <c r="E259" s="31">
        <v>1980</v>
      </c>
      <c r="F259" s="31">
        <v>0</v>
      </c>
      <c r="G259" s="31">
        <v>1980</v>
      </c>
      <c r="H259" s="31">
        <v>1980</v>
      </c>
      <c r="I259" s="31">
        <v>0</v>
      </c>
      <c r="J259" s="31" t="s">
        <v>95</v>
      </c>
    </row>
    <row r="260" spans="1:10" s="31" customFormat="1" x14ac:dyDescent="0.4">
      <c r="A260" s="38">
        <v>44095</v>
      </c>
      <c r="B260" s="31" t="s">
        <v>229</v>
      </c>
      <c r="C260" s="31" t="s">
        <v>93</v>
      </c>
      <c r="D260" s="31" t="s">
        <v>94</v>
      </c>
      <c r="E260" s="31">
        <v>3069</v>
      </c>
      <c r="F260" s="31">
        <v>0</v>
      </c>
      <c r="G260" s="31">
        <v>3069</v>
      </c>
      <c r="H260" s="31">
        <v>3069</v>
      </c>
      <c r="I260" s="31">
        <v>0</v>
      </c>
      <c r="J260" s="31" t="s">
        <v>95</v>
      </c>
    </row>
    <row r="261" spans="1:10" s="31" customFormat="1" x14ac:dyDescent="0.4">
      <c r="A261" s="38">
        <v>44092</v>
      </c>
      <c r="B261" s="31" t="s">
        <v>96</v>
      </c>
      <c r="C261" s="31" t="s">
        <v>93</v>
      </c>
      <c r="D261" s="31" t="s">
        <v>94</v>
      </c>
      <c r="E261" s="31">
        <v>3340</v>
      </c>
      <c r="F261" s="31">
        <v>0</v>
      </c>
      <c r="G261" s="31">
        <v>3340</v>
      </c>
      <c r="H261" s="31">
        <v>3340</v>
      </c>
      <c r="I261" s="31">
        <v>0</v>
      </c>
      <c r="J261" s="31" t="s">
        <v>95</v>
      </c>
    </row>
    <row r="262" spans="1:10" s="31" customFormat="1" x14ac:dyDescent="0.4">
      <c r="A262" s="38">
        <v>44091</v>
      </c>
      <c r="B262" s="31" t="s">
        <v>96</v>
      </c>
      <c r="C262" s="31" t="s">
        <v>93</v>
      </c>
      <c r="D262" s="31" t="s">
        <v>94</v>
      </c>
      <c r="E262" s="31">
        <v>2255</v>
      </c>
      <c r="F262" s="31">
        <v>0</v>
      </c>
      <c r="G262" s="31">
        <v>2255</v>
      </c>
      <c r="H262" s="31">
        <v>2255</v>
      </c>
      <c r="I262" s="31">
        <v>0</v>
      </c>
      <c r="J262" s="31" t="s">
        <v>95</v>
      </c>
    </row>
    <row r="263" spans="1:10" s="31" customFormat="1" x14ac:dyDescent="0.4">
      <c r="A263" s="38">
        <v>44091</v>
      </c>
      <c r="B263" s="31" t="s">
        <v>96</v>
      </c>
      <c r="C263" s="31" t="s">
        <v>93</v>
      </c>
      <c r="D263" s="31" t="s">
        <v>94</v>
      </c>
      <c r="E263" s="31">
        <v>585</v>
      </c>
      <c r="F263" s="31">
        <v>0</v>
      </c>
      <c r="G263" s="31">
        <v>585</v>
      </c>
      <c r="H263" s="31">
        <v>585</v>
      </c>
      <c r="I263" s="31">
        <v>0</v>
      </c>
      <c r="J263" s="31" t="s">
        <v>95</v>
      </c>
    </row>
    <row r="264" spans="1:10" s="31" customFormat="1" x14ac:dyDescent="0.4">
      <c r="A264" s="38">
        <v>44091</v>
      </c>
      <c r="B264" s="31" t="s">
        <v>96</v>
      </c>
      <c r="C264" s="31" t="s">
        <v>93</v>
      </c>
      <c r="D264" s="31" t="s">
        <v>94</v>
      </c>
      <c r="E264" s="31">
        <v>849</v>
      </c>
      <c r="F264" s="31">
        <v>0</v>
      </c>
      <c r="G264" s="31">
        <v>849</v>
      </c>
      <c r="H264" s="31">
        <v>849</v>
      </c>
      <c r="I264" s="31">
        <v>0</v>
      </c>
      <c r="J264" s="31" t="s">
        <v>95</v>
      </c>
    </row>
    <row r="265" spans="1:10" s="31" customFormat="1" x14ac:dyDescent="0.4">
      <c r="A265" s="38">
        <v>44091</v>
      </c>
      <c r="B265" s="31" t="s">
        <v>96</v>
      </c>
      <c r="C265" s="31" t="s">
        <v>93</v>
      </c>
      <c r="D265" s="31" t="s">
        <v>94</v>
      </c>
      <c r="E265" s="31">
        <v>629</v>
      </c>
      <c r="F265" s="31">
        <v>0</v>
      </c>
      <c r="G265" s="31">
        <v>629</v>
      </c>
      <c r="H265" s="31">
        <v>629</v>
      </c>
      <c r="I265" s="31">
        <v>0</v>
      </c>
      <c r="J265" s="31" t="s">
        <v>95</v>
      </c>
    </row>
    <row r="266" spans="1:10" s="31" customFormat="1" x14ac:dyDescent="0.4">
      <c r="A266" s="38">
        <v>44090</v>
      </c>
      <c r="B266" s="31" t="s">
        <v>187</v>
      </c>
      <c r="C266" s="31" t="s">
        <v>93</v>
      </c>
      <c r="D266" s="31" t="s">
        <v>94</v>
      </c>
      <c r="E266" s="31">
        <v>4526</v>
      </c>
      <c r="F266" s="31">
        <v>0</v>
      </c>
      <c r="G266" s="31">
        <v>4526</v>
      </c>
      <c r="H266" s="31">
        <v>4526</v>
      </c>
      <c r="I266" s="31">
        <v>0</v>
      </c>
      <c r="J266" s="31" t="s">
        <v>95</v>
      </c>
    </row>
    <row r="267" spans="1:10" s="31" customFormat="1" ht="37.5" x14ac:dyDescent="0.4">
      <c r="A267" s="38">
        <v>44087</v>
      </c>
      <c r="B267" s="40" t="s">
        <v>234</v>
      </c>
      <c r="C267" s="31" t="s">
        <v>93</v>
      </c>
      <c r="D267" s="31" t="s">
        <v>94</v>
      </c>
      <c r="E267" s="31">
        <v>8125</v>
      </c>
      <c r="F267" s="31">
        <v>0</v>
      </c>
      <c r="G267" s="31">
        <v>8125</v>
      </c>
      <c r="H267" s="31">
        <v>8125</v>
      </c>
      <c r="I267" s="31">
        <v>0</v>
      </c>
      <c r="J267" s="31" t="s">
        <v>95</v>
      </c>
    </row>
    <row r="268" spans="1:10" s="31" customFormat="1" x14ac:dyDescent="0.4">
      <c r="A268" s="38">
        <v>44087</v>
      </c>
      <c r="B268" s="31" t="s">
        <v>96</v>
      </c>
      <c r="C268" s="31" t="s">
        <v>93</v>
      </c>
      <c r="D268" s="31" t="s">
        <v>94</v>
      </c>
      <c r="E268" s="31">
        <v>2860</v>
      </c>
      <c r="F268" s="31">
        <v>0</v>
      </c>
      <c r="G268" s="31">
        <v>2860</v>
      </c>
      <c r="H268" s="31">
        <v>2860</v>
      </c>
      <c r="I268" s="31">
        <v>0</v>
      </c>
      <c r="J268" s="31" t="s">
        <v>95</v>
      </c>
    </row>
    <row r="269" spans="1:10" s="31" customFormat="1" x14ac:dyDescent="0.4">
      <c r="A269" s="38">
        <v>44087</v>
      </c>
      <c r="B269" s="31" t="s">
        <v>230</v>
      </c>
      <c r="C269" s="31" t="s">
        <v>93</v>
      </c>
      <c r="D269" s="31" t="s">
        <v>94</v>
      </c>
      <c r="E269" s="31">
        <v>1174</v>
      </c>
      <c r="F269" s="31">
        <v>0</v>
      </c>
      <c r="G269" s="31">
        <v>1174</v>
      </c>
      <c r="H269" s="31">
        <v>1174</v>
      </c>
      <c r="I269" s="31">
        <v>0</v>
      </c>
      <c r="J269" s="31" t="s">
        <v>95</v>
      </c>
    </row>
    <row r="270" spans="1:10" s="31" customFormat="1" x14ac:dyDescent="0.4">
      <c r="A270" s="38">
        <v>44087</v>
      </c>
      <c r="B270" s="31" t="s">
        <v>230</v>
      </c>
      <c r="C270" s="31" t="s">
        <v>93</v>
      </c>
      <c r="D270" s="31" t="s">
        <v>94</v>
      </c>
      <c r="E270" s="31">
        <v>877</v>
      </c>
      <c r="F270" s="31">
        <v>0</v>
      </c>
      <c r="G270" s="31">
        <v>877</v>
      </c>
      <c r="H270" s="31">
        <v>877</v>
      </c>
      <c r="I270" s="31">
        <v>0</v>
      </c>
      <c r="J270" s="31" t="s">
        <v>95</v>
      </c>
    </row>
    <row r="271" spans="1:10" s="31" customFormat="1" x14ac:dyDescent="0.4">
      <c r="A271" s="38">
        <v>44087</v>
      </c>
      <c r="B271" s="31" t="s">
        <v>230</v>
      </c>
      <c r="C271" s="31" t="s">
        <v>93</v>
      </c>
      <c r="D271" s="31" t="s">
        <v>94</v>
      </c>
      <c r="E271" s="31">
        <v>220</v>
      </c>
      <c r="F271" s="31">
        <v>0</v>
      </c>
      <c r="G271" s="31">
        <v>220</v>
      </c>
      <c r="H271" s="31">
        <v>220</v>
      </c>
      <c r="I271" s="31">
        <v>0</v>
      </c>
      <c r="J271" s="31" t="s">
        <v>95</v>
      </c>
    </row>
    <row r="272" spans="1:10" s="31" customFormat="1" x14ac:dyDescent="0.4">
      <c r="A272" s="38">
        <v>44086</v>
      </c>
      <c r="B272" s="31" t="s">
        <v>221</v>
      </c>
      <c r="C272" s="31" t="s">
        <v>93</v>
      </c>
      <c r="D272" s="31" t="s">
        <v>94</v>
      </c>
      <c r="E272" s="31">
        <v>4430</v>
      </c>
      <c r="F272" s="31">
        <v>0</v>
      </c>
      <c r="G272" s="31">
        <v>4430</v>
      </c>
      <c r="H272" s="31">
        <v>4430</v>
      </c>
      <c r="I272" s="31">
        <v>0</v>
      </c>
      <c r="J272" s="31" t="s">
        <v>95</v>
      </c>
    </row>
    <row r="273" spans="1:10" s="31" customFormat="1" x14ac:dyDescent="0.4">
      <c r="A273" s="38">
        <v>44085</v>
      </c>
      <c r="B273" s="31" t="s">
        <v>112</v>
      </c>
      <c r="C273" s="31" t="s">
        <v>93</v>
      </c>
      <c r="D273" s="31" t="s">
        <v>94</v>
      </c>
      <c r="E273" s="31">
        <v>3420</v>
      </c>
      <c r="F273" s="31">
        <v>0</v>
      </c>
      <c r="G273" s="31">
        <v>3420</v>
      </c>
      <c r="H273" s="31">
        <v>3420</v>
      </c>
      <c r="I273" s="31">
        <v>0</v>
      </c>
      <c r="J273" s="31" t="s">
        <v>95</v>
      </c>
    </row>
    <row r="274" spans="1:10" s="31" customFormat="1" x14ac:dyDescent="0.4">
      <c r="A274" s="38">
        <v>44085</v>
      </c>
      <c r="B274" s="31" t="s">
        <v>214</v>
      </c>
      <c r="C274" s="31" t="s">
        <v>93</v>
      </c>
      <c r="D274" s="31" t="s">
        <v>94</v>
      </c>
      <c r="E274" s="31">
        <v>11165</v>
      </c>
      <c r="F274" s="31">
        <v>0</v>
      </c>
      <c r="G274" s="31">
        <v>11165</v>
      </c>
      <c r="H274" s="31">
        <v>11165</v>
      </c>
      <c r="I274" s="31">
        <v>0</v>
      </c>
      <c r="J274" s="31" t="s">
        <v>95</v>
      </c>
    </row>
    <row r="275" spans="1:10" s="31" customFormat="1" x14ac:dyDescent="0.4">
      <c r="A275" s="38">
        <v>44083</v>
      </c>
      <c r="B275" s="31" t="s">
        <v>231</v>
      </c>
      <c r="C275" s="31" t="s">
        <v>93</v>
      </c>
      <c r="D275" s="31" t="s">
        <v>94</v>
      </c>
      <c r="E275" s="31">
        <v>4048</v>
      </c>
      <c r="F275" s="31">
        <v>0</v>
      </c>
      <c r="G275" s="31">
        <v>4048</v>
      </c>
      <c r="H275" s="31">
        <v>4048</v>
      </c>
      <c r="I275" s="31">
        <v>0</v>
      </c>
      <c r="J275" s="31" t="s">
        <v>95</v>
      </c>
    </row>
    <row r="276" spans="1:10" s="31" customFormat="1" x14ac:dyDescent="0.4">
      <c r="A276" s="38">
        <v>44083</v>
      </c>
      <c r="B276" s="31" t="s">
        <v>96</v>
      </c>
      <c r="C276" s="31" t="s">
        <v>93</v>
      </c>
      <c r="D276" s="31" t="s">
        <v>94</v>
      </c>
      <c r="E276" s="31">
        <v>1320</v>
      </c>
      <c r="F276" s="31">
        <v>0</v>
      </c>
      <c r="G276" s="31">
        <v>1320</v>
      </c>
      <c r="H276" s="31">
        <v>1320</v>
      </c>
      <c r="I276" s="31">
        <v>0</v>
      </c>
      <c r="J276" s="31" t="s">
        <v>95</v>
      </c>
    </row>
    <row r="277" spans="1:10" s="31" customFormat="1" x14ac:dyDescent="0.4">
      <c r="A277" s="38">
        <v>44079</v>
      </c>
      <c r="B277" s="31" t="s">
        <v>96</v>
      </c>
      <c r="C277" s="31" t="s">
        <v>93</v>
      </c>
      <c r="D277" s="31" t="s">
        <v>94</v>
      </c>
      <c r="E277" s="31">
        <v>1000</v>
      </c>
      <c r="F277" s="31">
        <v>0</v>
      </c>
      <c r="G277" s="31">
        <v>1000</v>
      </c>
      <c r="H277" s="31">
        <v>1000</v>
      </c>
      <c r="I277" s="31">
        <v>0</v>
      </c>
      <c r="J277" s="31" t="s">
        <v>95</v>
      </c>
    </row>
    <row r="278" spans="1:10" s="31" customFormat="1" x14ac:dyDescent="0.4">
      <c r="A278" s="38">
        <v>44079</v>
      </c>
      <c r="B278" s="31" t="s">
        <v>96</v>
      </c>
      <c r="C278" s="31" t="s">
        <v>93</v>
      </c>
      <c r="D278" s="31" t="s">
        <v>94</v>
      </c>
      <c r="E278" s="31">
        <v>6898</v>
      </c>
      <c r="F278" s="31">
        <v>0</v>
      </c>
      <c r="G278" s="31">
        <v>6898</v>
      </c>
      <c r="H278" s="31">
        <v>6898</v>
      </c>
      <c r="I278" s="31">
        <v>0</v>
      </c>
      <c r="J278" s="31" t="s">
        <v>95</v>
      </c>
    </row>
    <row r="279" spans="1:10" s="31" customFormat="1" x14ac:dyDescent="0.4">
      <c r="A279" s="38">
        <v>44076</v>
      </c>
      <c r="B279" s="31" t="s">
        <v>117</v>
      </c>
      <c r="C279" s="31" t="s">
        <v>93</v>
      </c>
      <c r="D279" s="31" t="s">
        <v>94</v>
      </c>
      <c r="E279" s="31">
        <v>748</v>
      </c>
      <c r="F279" s="31">
        <v>0</v>
      </c>
      <c r="G279" s="31">
        <v>748</v>
      </c>
      <c r="H279" s="31">
        <v>748</v>
      </c>
      <c r="I279" s="31">
        <v>0</v>
      </c>
      <c r="J279" s="31" t="s">
        <v>95</v>
      </c>
    </row>
    <row r="280" spans="1:10" s="31" customFormat="1" x14ac:dyDescent="0.4">
      <c r="A280" s="38">
        <v>44075</v>
      </c>
      <c r="B280" s="31" t="s">
        <v>96</v>
      </c>
      <c r="C280" s="31" t="s">
        <v>93</v>
      </c>
      <c r="D280" s="31" t="s">
        <v>94</v>
      </c>
      <c r="E280" s="31">
        <v>10538</v>
      </c>
      <c r="F280" s="31">
        <v>0</v>
      </c>
      <c r="G280" s="31">
        <v>10538</v>
      </c>
      <c r="H280" s="31">
        <v>10538</v>
      </c>
      <c r="I280" s="31">
        <v>0</v>
      </c>
      <c r="J280" s="31" t="s">
        <v>95</v>
      </c>
    </row>
    <row r="281" spans="1:10" s="31" customFormat="1" x14ac:dyDescent="0.4">
      <c r="A281" s="38">
        <v>44074</v>
      </c>
      <c r="B281" s="31" t="s">
        <v>200</v>
      </c>
      <c r="C281" s="31" t="s">
        <v>93</v>
      </c>
      <c r="D281" s="31" t="s">
        <v>94</v>
      </c>
      <c r="E281" s="31">
        <v>1466</v>
      </c>
      <c r="F281" s="31">
        <v>0</v>
      </c>
      <c r="G281" s="31">
        <v>1466</v>
      </c>
      <c r="H281" s="31">
        <v>1466</v>
      </c>
      <c r="I281" s="31">
        <v>0</v>
      </c>
      <c r="J281" s="31" t="s">
        <v>95</v>
      </c>
    </row>
    <row r="282" spans="1:10" s="31" customFormat="1" x14ac:dyDescent="0.4">
      <c r="A282" s="38">
        <v>44074</v>
      </c>
      <c r="B282" s="31" t="s">
        <v>200</v>
      </c>
      <c r="C282" s="31" t="s">
        <v>93</v>
      </c>
      <c r="D282" s="31" t="s">
        <v>94</v>
      </c>
      <c r="E282" s="31">
        <v>3249</v>
      </c>
      <c r="F282" s="31">
        <v>0</v>
      </c>
      <c r="G282" s="31">
        <v>3249</v>
      </c>
      <c r="H282" s="31">
        <v>3249</v>
      </c>
      <c r="I282" s="31">
        <v>0</v>
      </c>
      <c r="J282" s="31" t="s">
        <v>95</v>
      </c>
    </row>
    <row r="283" spans="1:10" s="31" customFormat="1" x14ac:dyDescent="0.4">
      <c r="A283" s="38">
        <v>44074</v>
      </c>
      <c r="B283" s="31" t="s">
        <v>223</v>
      </c>
      <c r="C283" s="31" t="s">
        <v>93</v>
      </c>
      <c r="D283" s="31" t="s">
        <v>94</v>
      </c>
      <c r="E283" s="31">
        <v>500</v>
      </c>
      <c r="F283" s="31">
        <v>0</v>
      </c>
      <c r="G283" s="31">
        <v>500</v>
      </c>
      <c r="H283" s="31">
        <v>500</v>
      </c>
      <c r="I283" s="31">
        <v>0</v>
      </c>
      <c r="J283" s="31" t="s">
        <v>95</v>
      </c>
    </row>
    <row r="284" spans="1:10" s="31" customFormat="1" x14ac:dyDescent="0.4">
      <c r="A284" s="38">
        <v>44069</v>
      </c>
      <c r="B284" s="31" t="s">
        <v>232</v>
      </c>
      <c r="C284" s="31" t="s">
        <v>93</v>
      </c>
      <c r="D284" s="31" t="s">
        <v>94</v>
      </c>
      <c r="E284" s="31">
        <v>4987</v>
      </c>
      <c r="F284" s="31">
        <v>0</v>
      </c>
      <c r="G284" s="31">
        <v>4987</v>
      </c>
      <c r="H284" s="31">
        <v>4987</v>
      </c>
      <c r="I284" s="31">
        <v>0</v>
      </c>
      <c r="J284" s="31" t="s">
        <v>95</v>
      </c>
    </row>
    <row r="285" spans="1:10" s="31" customFormat="1" x14ac:dyDescent="0.4">
      <c r="A285" s="38"/>
    </row>
    <row r="286" spans="1:10" s="31" customFormat="1" x14ac:dyDescent="0.4">
      <c r="A286" s="38"/>
    </row>
    <row r="287" spans="1:10" s="31" customFormat="1" x14ac:dyDescent="0.4">
      <c r="A287" s="38"/>
    </row>
    <row r="288" spans="1:10" s="31" customFormat="1" x14ac:dyDescent="0.4">
      <c r="A288" s="38"/>
    </row>
    <row r="289" spans="1:1" s="31" customFormat="1" x14ac:dyDescent="0.4">
      <c r="A289" s="38"/>
    </row>
    <row r="290" spans="1:1" s="31" customFormat="1" x14ac:dyDescent="0.4">
      <c r="A290" s="38"/>
    </row>
    <row r="291" spans="1:1" s="31" customFormat="1" x14ac:dyDescent="0.4">
      <c r="A291" s="38"/>
    </row>
    <row r="292" spans="1:1" s="31" customFormat="1" x14ac:dyDescent="0.4">
      <c r="A292" s="38"/>
    </row>
    <row r="293" spans="1:1" s="31" customFormat="1" x14ac:dyDescent="0.4">
      <c r="A293" s="38"/>
    </row>
    <row r="294" spans="1:1" s="31" customFormat="1" x14ac:dyDescent="0.4">
      <c r="A294" s="38"/>
    </row>
    <row r="295" spans="1:1" s="31" customFormat="1" x14ac:dyDescent="0.4">
      <c r="A295" s="38"/>
    </row>
    <row r="296" spans="1:1" s="31" customFormat="1" x14ac:dyDescent="0.4">
      <c r="A296" s="38"/>
    </row>
    <row r="297" spans="1:1" s="31" customFormat="1" x14ac:dyDescent="0.4">
      <c r="A297" s="38"/>
    </row>
    <row r="298" spans="1:1" s="31" customFormat="1" x14ac:dyDescent="0.4">
      <c r="A298" s="38"/>
    </row>
    <row r="299" spans="1:1" s="31" customFormat="1" x14ac:dyDescent="0.4">
      <c r="A299" s="38"/>
    </row>
    <row r="300" spans="1:1" s="31" customFormat="1" x14ac:dyDescent="0.4">
      <c r="A300" s="38"/>
    </row>
    <row r="301" spans="1:1" s="31" customFormat="1" x14ac:dyDescent="0.4">
      <c r="A301" s="38"/>
    </row>
    <row r="302" spans="1:1" s="31" customFormat="1" x14ac:dyDescent="0.4">
      <c r="A302" s="38"/>
    </row>
    <row r="303" spans="1:1" s="31" customFormat="1" x14ac:dyDescent="0.4">
      <c r="A303" s="38"/>
    </row>
    <row r="304" spans="1:1" s="31" customFormat="1" x14ac:dyDescent="0.4">
      <c r="A304" s="38"/>
    </row>
    <row r="305" spans="1:1" s="31" customFormat="1" x14ac:dyDescent="0.4">
      <c r="A305" s="38"/>
    </row>
    <row r="306" spans="1:1" s="31" customFormat="1" x14ac:dyDescent="0.4">
      <c r="A306" s="38"/>
    </row>
    <row r="307" spans="1:1" s="31" customFormat="1" x14ac:dyDescent="0.4">
      <c r="A307" s="38"/>
    </row>
    <row r="308" spans="1:1" s="31" customFormat="1" x14ac:dyDescent="0.4">
      <c r="A308" s="38"/>
    </row>
    <row r="309" spans="1:1" s="31" customFormat="1" x14ac:dyDescent="0.4">
      <c r="A309" s="38"/>
    </row>
    <row r="310" spans="1:1" s="31" customFormat="1" x14ac:dyDescent="0.4">
      <c r="A310" s="38"/>
    </row>
    <row r="311" spans="1:1" s="31" customFormat="1" x14ac:dyDescent="0.4">
      <c r="A311" s="38"/>
    </row>
    <row r="312" spans="1:1" s="31" customFormat="1" x14ac:dyDescent="0.4">
      <c r="A312" s="38"/>
    </row>
    <row r="313" spans="1:1" s="31" customFormat="1" x14ac:dyDescent="0.4">
      <c r="A313" s="38"/>
    </row>
    <row r="314" spans="1:1" s="31" customFormat="1" x14ac:dyDescent="0.4">
      <c r="A314" s="38"/>
    </row>
    <row r="315" spans="1:1" s="31" customFormat="1" x14ac:dyDescent="0.4">
      <c r="A315" s="38"/>
    </row>
    <row r="316" spans="1:1" s="31" customFormat="1" x14ac:dyDescent="0.4">
      <c r="A316" s="38"/>
    </row>
    <row r="317" spans="1:1" s="31" customFormat="1" x14ac:dyDescent="0.4">
      <c r="A317" s="38"/>
    </row>
    <row r="318" spans="1:1" s="31" customFormat="1" x14ac:dyDescent="0.4">
      <c r="A318" s="38"/>
    </row>
    <row r="319" spans="1:1" s="31" customFormat="1" x14ac:dyDescent="0.4">
      <c r="A319" s="38"/>
    </row>
    <row r="320" spans="1:1" s="31" customFormat="1" x14ac:dyDescent="0.4">
      <c r="A320" s="38"/>
    </row>
    <row r="321" spans="1:2" s="31" customFormat="1" x14ac:dyDescent="0.4">
      <c r="A321" s="38"/>
    </row>
    <row r="322" spans="1:2" s="31" customFormat="1" x14ac:dyDescent="0.4">
      <c r="A322" s="38"/>
    </row>
    <row r="323" spans="1:2" s="31" customFormat="1" x14ac:dyDescent="0.4">
      <c r="A323" s="38"/>
      <c r="B323" s="40"/>
    </row>
    <row r="324" spans="1:2" s="31" customFormat="1" x14ac:dyDescent="0.4">
      <c r="A324" s="38"/>
    </row>
    <row r="325" spans="1:2" s="31" customFormat="1" x14ac:dyDescent="0.4">
      <c r="A325" s="38"/>
    </row>
    <row r="326" spans="1:2" s="31" customFormat="1" x14ac:dyDescent="0.4">
      <c r="A326" s="38"/>
    </row>
    <row r="327" spans="1:2" s="31" customFormat="1" x14ac:dyDescent="0.4">
      <c r="A327" s="38"/>
    </row>
    <row r="328" spans="1:2" s="31" customFormat="1" x14ac:dyDescent="0.4">
      <c r="A328" s="38"/>
    </row>
    <row r="329" spans="1:2" s="31" customFormat="1" x14ac:dyDescent="0.4">
      <c r="A329" s="38"/>
      <c r="B329" s="40"/>
    </row>
    <row r="330" spans="1:2" s="31" customFormat="1" x14ac:dyDescent="0.4">
      <c r="A330" s="38"/>
      <c r="B330" s="40"/>
    </row>
    <row r="331" spans="1:2" s="31" customFormat="1" x14ac:dyDescent="0.4">
      <c r="A331" s="38"/>
      <c r="B331" s="40"/>
    </row>
    <row r="332" spans="1:2" s="31" customFormat="1" x14ac:dyDescent="0.4">
      <c r="A332" s="38"/>
    </row>
    <row r="333" spans="1:2" s="31" customFormat="1" x14ac:dyDescent="0.4">
      <c r="A333" s="38"/>
    </row>
    <row r="334" spans="1:2" s="31" customFormat="1" x14ac:dyDescent="0.4">
      <c r="A334" s="38"/>
    </row>
    <row r="335" spans="1:2" s="31" customFormat="1" x14ac:dyDescent="0.4">
      <c r="A335" s="38"/>
    </row>
    <row r="336" spans="1:2" s="31" customFormat="1" x14ac:dyDescent="0.4">
      <c r="A336" s="38"/>
    </row>
    <row r="337" spans="1:2" s="31" customFormat="1" x14ac:dyDescent="0.4">
      <c r="A337" s="38"/>
    </row>
    <row r="338" spans="1:2" s="31" customFormat="1" x14ac:dyDescent="0.4">
      <c r="A338" s="38"/>
    </row>
    <row r="339" spans="1:2" s="31" customFormat="1" x14ac:dyDescent="0.4">
      <c r="A339" s="38"/>
    </row>
    <row r="340" spans="1:2" s="31" customFormat="1" x14ac:dyDescent="0.4">
      <c r="A340" s="38"/>
    </row>
    <row r="341" spans="1:2" s="31" customFormat="1" x14ac:dyDescent="0.4">
      <c r="A341" s="38"/>
    </row>
    <row r="342" spans="1:2" s="31" customFormat="1" x14ac:dyDescent="0.4">
      <c r="A342" s="38"/>
    </row>
    <row r="343" spans="1:2" s="31" customFormat="1" x14ac:dyDescent="0.4">
      <c r="A343" s="38"/>
    </row>
    <row r="344" spans="1:2" s="31" customFormat="1" x14ac:dyDescent="0.4">
      <c r="A344" s="38"/>
    </row>
    <row r="345" spans="1:2" s="31" customFormat="1" x14ac:dyDescent="0.4">
      <c r="A345" s="38"/>
    </row>
    <row r="346" spans="1:2" s="31" customFormat="1" x14ac:dyDescent="0.4">
      <c r="A346" s="38"/>
    </row>
    <row r="347" spans="1:2" s="31" customFormat="1" x14ac:dyDescent="0.4">
      <c r="A347" s="38"/>
    </row>
    <row r="348" spans="1:2" s="31" customFormat="1" x14ac:dyDescent="0.4">
      <c r="A348" s="38"/>
    </row>
    <row r="349" spans="1:2" s="31" customFormat="1" x14ac:dyDescent="0.4">
      <c r="A349" s="38"/>
    </row>
    <row r="350" spans="1:2" s="31" customFormat="1" x14ac:dyDescent="0.4">
      <c r="A350" s="38"/>
    </row>
    <row r="351" spans="1:2" s="31" customFormat="1" x14ac:dyDescent="0.4">
      <c r="A351" s="38"/>
    </row>
    <row r="352" spans="1:2" s="31" customFormat="1" x14ac:dyDescent="0.4">
      <c r="A352" s="38"/>
      <c r="B352" s="40"/>
    </row>
    <row r="353" spans="1:1" s="31" customFormat="1" x14ac:dyDescent="0.4">
      <c r="A353" s="38"/>
    </row>
    <row r="354" spans="1:1" s="31" customFormat="1" x14ac:dyDescent="0.4">
      <c r="A354" s="38"/>
    </row>
    <row r="355" spans="1:1" s="31" customFormat="1" x14ac:dyDescent="0.4">
      <c r="A355" s="38"/>
    </row>
    <row r="356" spans="1:1" s="31" customFormat="1" x14ac:dyDescent="0.4">
      <c r="A356" s="38"/>
    </row>
    <row r="357" spans="1:1" s="31" customFormat="1" x14ac:dyDescent="0.4">
      <c r="A357" s="38"/>
    </row>
    <row r="358" spans="1:1" s="31" customFormat="1" x14ac:dyDescent="0.4">
      <c r="A358" s="38"/>
    </row>
    <row r="359" spans="1:1" s="31" customFormat="1" x14ac:dyDescent="0.4">
      <c r="A359" s="38"/>
    </row>
    <row r="360" spans="1:1" s="31" customFormat="1" x14ac:dyDescent="0.4">
      <c r="A360" s="38"/>
    </row>
    <row r="361" spans="1:1" s="31" customFormat="1" x14ac:dyDescent="0.4">
      <c r="A361" s="38"/>
    </row>
    <row r="362" spans="1:1" s="31" customFormat="1" x14ac:dyDescent="0.4">
      <c r="A362" s="38"/>
    </row>
    <row r="363" spans="1:1" s="31" customFormat="1" x14ac:dyDescent="0.4">
      <c r="A363" s="38"/>
    </row>
    <row r="364" spans="1:1" s="31" customFormat="1" x14ac:dyDescent="0.4">
      <c r="A364" s="38"/>
    </row>
    <row r="365" spans="1:1" s="31" customFormat="1" x14ac:dyDescent="0.4">
      <c r="A365" s="38"/>
    </row>
    <row r="366" spans="1:1" s="31" customFormat="1" x14ac:dyDescent="0.4">
      <c r="A366" s="38"/>
    </row>
    <row r="367" spans="1:1" s="31" customFormat="1" x14ac:dyDescent="0.4">
      <c r="A367" s="38"/>
    </row>
    <row r="368" spans="1:1" s="31" customFormat="1" x14ac:dyDescent="0.4">
      <c r="A368" s="38"/>
    </row>
    <row r="369" spans="1:1" s="31" customFormat="1" x14ac:dyDescent="0.4">
      <c r="A369" s="38"/>
    </row>
    <row r="370" spans="1:1" s="31" customFormat="1" x14ac:dyDescent="0.4">
      <c r="A370" s="38"/>
    </row>
    <row r="371" spans="1:1" s="31" customFormat="1" x14ac:dyDescent="0.4">
      <c r="A371" s="38"/>
    </row>
    <row r="372" spans="1:1" s="31" customFormat="1" x14ac:dyDescent="0.4">
      <c r="A372" s="38"/>
    </row>
    <row r="373" spans="1:1" s="31" customFormat="1" x14ac:dyDescent="0.4">
      <c r="A373" s="38"/>
    </row>
    <row r="374" spans="1:1" s="31" customFormat="1" x14ac:dyDescent="0.4">
      <c r="A374" s="38"/>
    </row>
    <row r="375" spans="1:1" s="31" customFormat="1" x14ac:dyDescent="0.4">
      <c r="A375" s="38"/>
    </row>
    <row r="376" spans="1:1" s="31" customFormat="1" x14ac:dyDescent="0.4">
      <c r="A376" s="38"/>
    </row>
    <row r="377" spans="1:1" s="31" customFormat="1" x14ac:dyDescent="0.4">
      <c r="A377" s="38"/>
    </row>
    <row r="378" spans="1:1" s="31" customFormat="1" x14ac:dyDescent="0.4">
      <c r="A378" s="38"/>
    </row>
    <row r="379" spans="1:1" s="31" customFormat="1" x14ac:dyDescent="0.4">
      <c r="A379" s="38"/>
    </row>
    <row r="380" spans="1:1" s="31" customFormat="1" x14ac:dyDescent="0.4">
      <c r="A380" s="38"/>
    </row>
    <row r="381" spans="1:1" s="31" customFormat="1" x14ac:dyDescent="0.4">
      <c r="A381" s="38"/>
    </row>
    <row r="382" spans="1:1" s="31" customFormat="1" x14ac:dyDescent="0.4">
      <c r="A382" s="38"/>
    </row>
    <row r="383" spans="1:1" s="31" customFormat="1" x14ac:dyDescent="0.4">
      <c r="A383" s="38"/>
    </row>
    <row r="384" spans="1:1" s="31" customFormat="1" x14ac:dyDescent="0.4">
      <c r="A384" s="38"/>
    </row>
    <row r="385" spans="1:1" s="31" customFormat="1" x14ac:dyDescent="0.4">
      <c r="A385" s="38"/>
    </row>
    <row r="386" spans="1:1" s="31" customFormat="1" x14ac:dyDescent="0.4">
      <c r="A386" s="38"/>
    </row>
    <row r="387" spans="1:1" s="31" customFormat="1" x14ac:dyDescent="0.4">
      <c r="A387" s="38"/>
    </row>
    <row r="388" spans="1:1" s="31" customFormat="1" x14ac:dyDescent="0.4">
      <c r="A388" s="38"/>
    </row>
    <row r="389" spans="1:1" s="31" customFormat="1" x14ac:dyDescent="0.4">
      <c r="A389" s="38"/>
    </row>
    <row r="390" spans="1:1" s="31" customFormat="1" x14ac:dyDescent="0.4">
      <c r="A390" s="38"/>
    </row>
    <row r="391" spans="1:1" s="31" customFormat="1" x14ac:dyDescent="0.4">
      <c r="A391" s="38"/>
    </row>
    <row r="392" spans="1:1" s="31" customFormat="1" x14ac:dyDescent="0.4">
      <c r="A392" s="38"/>
    </row>
    <row r="393" spans="1:1" s="31" customFormat="1" x14ac:dyDescent="0.4">
      <c r="A393" s="38"/>
    </row>
    <row r="394" spans="1:1" s="31" customFormat="1" x14ac:dyDescent="0.4">
      <c r="A394" s="38"/>
    </row>
    <row r="395" spans="1:1" s="31" customFormat="1" x14ac:dyDescent="0.4">
      <c r="A395" s="38"/>
    </row>
    <row r="396" spans="1:1" s="31" customFormat="1" x14ac:dyDescent="0.4">
      <c r="A396" s="38"/>
    </row>
    <row r="397" spans="1:1" s="31" customFormat="1" x14ac:dyDescent="0.4">
      <c r="A397" s="38"/>
    </row>
    <row r="398" spans="1:1" s="31" customFormat="1" x14ac:dyDescent="0.4">
      <c r="A398" s="38"/>
    </row>
    <row r="399" spans="1:1" s="31" customFormat="1" x14ac:dyDescent="0.4">
      <c r="A399" s="38"/>
    </row>
    <row r="400" spans="1:1" s="31" customFormat="1" x14ac:dyDescent="0.4">
      <c r="A400" s="38"/>
    </row>
    <row r="401" spans="1:1" s="31" customFormat="1" x14ac:dyDescent="0.4">
      <c r="A401" s="38"/>
    </row>
    <row r="402" spans="1:1" s="31" customFormat="1" x14ac:dyDescent="0.4">
      <c r="A402" s="38"/>
    </row>
    <row r="403" spans="1:1" s="31" customFormat="1" x14ac:dyDescent="0.4">
      <c r="A403" s="38"/>
    </row>
    <row r="404" spans="1:1" s="31" customFormat="1" x14ac:dyDescent="0.4">
      <c r="A404" s="38"/>
    </row>
    <row r="405" spans="1:1" s="31" customFormat="1" x14ac:dyDescent="0.4">
      <c r="A405" s="38"/>
    </row>
    <row r="406" spans="1:1" s="31" customFormat="1" x14ac:dyDescent="0.4">
      <c r="A406" s="38"/>
    </row>
    <row r="407" spans="1:1" s="31" customFormat="1" x14ac:dyDescent="0.4">
      <c r="A407" s="38"/>
    </row>
    <row r="408" spans="1:1" s="31" customFormat="1" x14ac:dyDescent="0.4">
      <c r="A408" s="38"/>
    </row>
    <row r="409" spans="1:1" s="31" customFormat="1" x14ac:dyDescent="0.4">
      <c r="A409" s="38"/>
    </row>
    <row r="410" spans="1:1" s="31" customFormat="1" x14ac:dyDescent="0.4">
      <c r="A410" s="38"/>
    </row>
    <row r="411" spans="1:1" s="31" customFormat="1" x14ac:dyDescent="0.4">
      <c r="A411" s="38"/>
    </row>
    <row r="412" spans="1:1" s="31" customFormat="1" x14ac:dyDescent="0.4">
      <c r="A412" s="38"/>
    </row>
    <row r="413" spans="1:1" s="31" customFormat="1" x14ac:dyDescent="0.4">
      <c r="A413" s="38"/>
    </row>
    <row r="414" spans="1:1" s="31" customFormat="1" x14ac:dyDescent="0.4">
      <c r="A414" s="38"/>
    </row>
    <row r="415" spans="1:1" s="31" customFormat="1" x14ac:dyDescent="0.4">
      <c r="A415" s="38"/>
    </row>
    <row r="416" spans="1:1" s="31" customFormat="1" x14ac:dyDescent="0.4">
      <c r="A416" s="38"/>
    </row>
    <row r="417" spans="1:1" s="31" customFormat="1" x14ac:dyDescent="0.4">
      <c r="A417" s="38"/>
    </row>
    <row r="418" spans="1:1" s="31" customFormat="1" x14ac:dyDescent="0.4">
      <c r="A418" s="38"/>
    </row>
    <row r="419" spans="1:1" s="31" customFormat="1" x14ac:dyDescent="0.4">
      <c r="A419" s="38"/>
    </row>
    <row r="420" spans="1:1" s="31" customFormat="1" x14ac:dyDescent="0.4">
      <c r="A420" s="38"/>
    </row>
    <row r="421" spans="1:1" s="31" customFormat="1" x14ac:dyDescent="0.4">
      <c r="A421" s="38"/>
    </row>
    <row r="422" spans="1:1" s="31" customFormat="1" x14ac:dyDescent="0.4">
      <c r="A422" s="38"/>
    </row>
    <row r="423" spans="1:1" s="31" customFormat="1" x14ac:dyDescent="0.4">
      <c r="A423" s="38"/>
    </row>
    <row r="424" spans="1:1" s="31" customFormat="1" x14ac:dyDescent="0.4">
      <c r="A424" s="38"/>
    </row>
    <row r="425" spans="1:1" s="31" customFormat="1" x14ac:dyDescent="0.4">
      <c r="A425" s="38"/>
    </row>
    <row r="426" spans="1:1" s="31" customFormat="1" x14ac:dyDescent="0.4">
      <c r="A426" s="38"/>
    </row>
    <row r="427" spans="1:1" s="31" customFormat="1" x14ac:dyDescent="0.4">
      <c r="A427" s="38"/>
    </row>
    <row r="428" spans="1:1" s="31" customFormat="1" x14ac:dyDescent="0.4">
      <c r="A428" s="38"/>
    </row>
    <row r="429" spans="1:1" s="31" customFormat="1" x14ac:dyDescent="0.4">
      <c r="A429" s="38"/>
    </row>
    <row r="430" spans="1:1" s="31" customFormat="1" x14ac:dyDescent="0.4">
      <c r="A430" s="38"/>
    </row>
    <row r="431" spans="1:1" s="31" customFormat="1" x14ac:dyDescent="0.4">
      <c r="A431" s="38"/>
    </row>
    <row r="432" spans="1:1" s="31" customFormat="1" x14ac:dyDescent="0.4">
      <c r="A432" s="38"/>
    </row>
    <row r="433" spans="1:1" s="31" customFormat="1" x14ac:dyDescent="0.4">
      <c r="A433" s="38"/>
    </row>
    <row r="434" spans="1:1" s="31" customFormat="1" x14ac:dyDescent="0.4">
      <c r="A434" s="38"/>
    </row>
    <row r="435" spans="1:1" s="31" customFormat="1" x14ac:dyDescent="0.4">
      <c r="A435" s="38"/>
    </row>
    <row r="436" spans="1:1" s="31" customFormat="1" x14ac:dyDescent="0.4">
      <c r="A436" s="38"/>
    </row>
    <row r="437" spans="1:1" s="31" customFormat="1" x14ac:dyDescent="0.4">
      <c r="A437" s="38"/>
    </row>
    <row r="438" spans="1:1" s="31" customFormat="1" x14ac:dyDescent="0.4">
      <c r="A438" s="38"/>
    </row>
    <row r="439" spans="1:1" s="31" customFormat="1" x14ac:dyDescent="0.4">
      <c r="A439" s="38"/>
    </row>
    <row r="440" spans="1:1" s="31" customFormat="1" x14ac:dyDescent="0.4">
      <c r="A440" s="38"/>
    </row>
    <row r="441" spans="1:1" s="31" customFormat="1" x14ac:dyDescent="0.4">
      <c r="A441" s="38"/>
    </row>
    <row r="442" spans="1:1" s="31" customFormat="1" x14ac:dyDescent="0.4">
      <c r="A442" s="38"/>
    </row>
    <row r="443" spans="1:1" s="31" customFormat="1" x14ac:dyDescent="0.4">
      <c r="A443" s="38"/>
    </row>
    <row r="444" spans="1:1" s="31" customFormat="1" x14ac:dyDescent="0.4">
      <c r="A444" s="38"/>
    </row>
    <row r="445" spans="1:1" s="31" customFormat="1" x14ac:dyDescent="0.4">
      <c r="A445" s="38"/>
    </row>
    <row r="446" spans="1:1" s="31" customFormat="1" x14ac:dyDescent="0.4">
      <c r="A446" s="38"/>
    </row>
    <row r="447" spans="1:1" s="31" customFormat="1" x14ac:dyDescent="0.4">
      <c r="A447" s="38"/>
    </row>
    <row r="448" spans="1:1" s="31" customFormat="1" x14ac:dyDescent="0.4">
      <c r="A448" s="38"/>
    </row>
    <row r="449" spans="1:1" s="31" customFormat="1" x14ac:dyDescent="0.4">
      <c r="A449" s="38"/>
    </row>
    <row r="450" spans="1:1" s="31" customFormat="1" x14ac:dyDescent="0.4">
      <c r="A450" s="38"/>
    </row>
    <row r="451" spans="1:1" s="31" customFormat="1" x14ac:dyDescent="0.4">
      <c r="A451" s="38"/>
    </row>
    <row r="452" spans="1:1" s="31" customFormat="1" x14ac:dyDescent="0.4">
      <c r="A452" s="38"/>
    </row>
    <row r="453" spans="1:1" s="31" customFormat="1" x14ac:dyDescent="0.4">
      <c r="A453" s="38"/>
    </row>
    <row r="454" spans="1:1" s="31" customFormat="1" x14ac:dyDescent="0.4">
      <c r="A454" s="38"/>
    </row>
    <row r="455" spans="1:1" s="31" customFormat="1" x14ac:dyDescent="0.4">
      <c r="A455" s="38"/>
    </row>
    <row r="456" spans="1:1" s="31" customFormat="1" x14ac:dyDescent="0.4">
      <c r="A456" s="38"/>
    </row>
    <row r="457" spans="1:1" s="31" customFormat="1" x14ac:dyDescent="0.4">
      <c r="A457" s="38"/>
    </row>
    <row r="458" spans="1:1" s="31" customFormat="1" x14ac:dyDescent="0.4">
      <c r="A458" s="38"/>
    </row>
    <row r="459" spans="1:1" s="31" customFormat="1" x14ac:dyDescent="0.4">
      <c r="A459" s="38"/>
    </row>
    <row r="460" spans="1:1" s="31" customFormat="1" x14ac:dyDescent="0.4">
      <c r="A460" s="38"/>
    </row>
    <row r="461" spans="1:1" s="31" customFormat="1" x14ac:dyDescent="0.4">
      <c r="A461" s="38"/>
    </row>
    <row r="462" spans="1:1" s="31" customFormat="1" x14ac:dyDescent="0.4">
      <c r="A462" s="38"/>
    </row>
    <row r="463" spans="1:1" s="31" customFormat="1" x14ac:dyDescent="0.4">
      <c r="A463" s="38"/>
    </row>
    <row r="464" spans="1:1" s="31" customFormat="1" x14ac:dyDescent="0.4">
      <c r="A464" s="38"/>
    </row>
    <row r="465" spans="1:1" s="31" customFormat="1" x14ac:dyDescent="0.4">
      <c r="A465" s="38"/>
    </row>
    <row r="466" spans="1:1" s="31" customFormat="1" x14ac:dyDescent="0.4">
      <c r="A466" s="38"/>
    </row>
    <row r="467" spans="1:1" s="31" customFormat="1" x14ac:dyDescent="0.4">
      <c r="A467" s="38"/>
    </row>
    <row r="468" spans="1:1" s="31" customFormat="1" x14ac:dyDescent="0.4">
      <c r="A468" s="38"/>
    </row>
    <row r="469" spans="1:1" s="31" customFormat="1" x14ac:dyDescent="0.4">
      <c r="A469" s="38"/>
    </row>
    <row r="470" spans="1:1" s="31" customFormat="1" x14ac:dyDescent="0.4">
      <c r="A470" s="38"/>
    </row>
    <row r="471" spans="1:1" s="31" customFormat="1" x14ac:dyDescent="0.4">
      <c r="A471" s="38"/>
    </row>
    <row r="472" spans="1:1" s="31" customFormat="1" x14ac:dyDescent="0.4">
      <c r="A472" s="38"/>
    </row>
    <row r="473" spans="1:1" s="31" customFormat="1" x14ac:dyDescent="0.4">
      <c r="A473" s="38"/>
    </row>
    <row r="474" spans="1:1" s="31" customFormat="1" x14ac:dyDescent="0.4">
      <c r="A474" s="38"/>
    </row>
    <row r="475" spans="1:1" s="31" customFormat="1" x14ac:dyDescent="0.4">
      <c r="A475" s="38"/>
    </row>
    <row r="476" spans="1:1" s="31" customFormat="1" x14ac:dyDescent="0.4">
      <c r="A476" s="38"/>
    </row>
    <row r="477" spans="1:1" s="31" customFormat="1" x14ac:dyDescent="0.4">
      <c r="A477" s="38"/>
    </row>
    <row r="478" spans="1:1" s="31" customFormat="1" x14ac:dyDescent="0.4">
      <c r="A478" s="38"/>
    </row>
    <row r="479" spans="1:1" s="31" customFormat="1" x14ac:dyDescent="0.4">
      <c r="A479" s="38"/>
    </row>
    <row r="480" spans="1:1" s="31" customFormat="1" x14ac:dyDescent="0.4">
      <c r="A480" s="38"/>
    </row>
    <row r="481" spans="1:1" s="31" customFormat="1" x14ac:dyDescent="0.4">
      <c r="A481" s="38"/>
    </row>
    <row r="482" spans="1:1" s="31" customFormat="1" x14ac:dyDescent="0.4">
      <c r="A482" s="38"/>
    </row>
    <row r="483" spans="1:1" s="31" customFormat="1" x14ac:dyDescent="0.4">
      <c r="A483" s="38"/>
    </row>
    <row r="484" spans="1:1" s="31" customFormat="1" x14ac:dyDescent="0.4">
      <c r="A484" s="38"/>
    </row>
    <row r="485" spans="1:1" s="31" customFormat="1" x14ac:dyDescent="0.4">
      <c r="A485" s="38"/>
    </row>
    <row r="486" spans="1:1" s="31" customFormat="1" x14ac:dyDescent="0.4">
      <c r="A486" s="38"/>
    </row>
    <row r="487" spans="1:1" s="31" customFormat="1" x14ac:dyDescent="0.4">
      <c r="A487" s="38"/>
    </row>
    <row r="488" spans="1:1" s="31" customFormat="1" x14ac:dyDescent="0.4">
      <c r="A488" s="38"/>
    </row>
    <row r="489" spans="1:1" s="31" customFormat="1" x14ac:dyDescent="0.4">
      <c r="A489" s="38"/>
    </row>
    <row r="490" spans="1:1" s="31" customFormat="1" x14ac:dyDescent="0.4">
      <c r="A490" s="38"/>
    </row>
    <row r="491" spans="1:1" s="31" customFormat="1" x14ac:dyDescent="0.4">
      <c r="A491" s="38"/>
    </row>
    <row r="492" spans="1:1" s="31" customFormat="1" x14ac:dyDescent="0.4">
      <c r="A492" s="38"/>
    </row>
    <row r="493" spans="1:1" s="31" customFormat="1" x14ac:dyDescent="0.4">
      <c r="A493" s="38"/>
    </row>
    <row r="494" spans="1:1" s="31" customFormat="1" x14ac:dyDescent="0.4">
      <c r="A494" s="38"/>
    </row>
    <row r="495" spans="1:1" s="31" customFormat="1" x14ac:dyDescent="0.4">
      <c r="A495" s="38"/>
    </row>
    <row r="496" spans="1:1" s="31" customFormat="1" x14ac:dyDescent="0.4">
      <c r="A496" s="38"/>
    </row>
    <row r="497" spans="1:1" s="31" customFormat="1" x14ac:dyDescent="0.4">
      <c r="A497" s="38"/>
    </row>
    <row r="498" spans="1:1" s="31" customFormat="1" x14ac:dyDescent="0.4">
      <c r="A498" s="38"/>
    </row>
    <row r="499" spans="1:1" s="31" customFormat="1" x14ac:dyDescent="0.4">
      <c r="A499" s="38"/>
    </row>
    <row r="500" spans="1:1" s="31" customFormat="1" x14ac:dyDescent="0.4">
      <c r="A500" s="38"/>
    </row>
    <row r="501" spans="1:1" s="31" customFormat="1" x14ac:dyDescent="0.4">
      <c r="A501" s="38"/>
    </row>
    <row r="502" spans="1:1" s="31" customFormat="1" x14ac:dyDescent="0.4">
      <c r="A502" s="38"/>
    </row>
    <row r="503" spans="1:1" s="31" customFormat="1" x14ac:dyDescent="0.4">
      <c r="A503" s="38"/>
    </row>
    <row r="504" spans="1:1" s="31" customFormat="1" x14ac:dyDescent="0.4">
      <c r="A504" s="38"/>
    </row>
    <row r="505" spans="1:1" s="31" customFormat="1" x14ac:dyDescent="0.4">
      <c r="A505" s="38"/>
    </row>
    <row r="506" spans="1:1" s="31" customFormat="1" x14ac:dyDescent="0.4">
      <c r="A506" s="38"/>
    </row>
    <row r="507" spans="1:1" s="31" customFormat="1" x14ac:dyDescent="0.4">
      <c r="A507" s="38"/>
    </row>
    <row r="508" spans="1:1" s="31" customFormat="1" x14ac:dyDescent="0.4">
      <c r="A508" s="38"/>
    </row>
    <row r="509" spans="1:1" s="31" customFormat="1" x14ac:dyDescent="0.4">
      <c r="A509" s="38"/>
    </row>
    <row r="510" spans="1:1" s="31" customFormat="1" x14ac:dyDescent="0.4">
      <c r="A510" s="38"/>
    </row>
    <row r="511" spans="1:1" s="31" customFormat="1" x14ac:dyDescent="0.4">
      <c r="A511" s="38"/>
    </row>
    <row r="512" spans="1:1" s="31" customFormat="1" x14ac:dyDescent="0.4">
      <c r="A512" s="38"/>
    </row>
    <row r="513" spans="1:1" s="31" customFormat="1" x14ac:dyDescent="0.4">
      <c r="A513" s="38"/>
    </row>
    <row r="514" spans="1:1" s="31" customFormat="1" x14ac:dyDescent="0.4">
      <c r="A514" s="38"/>
    </row>
    <row r="515" spans="1:1" s="31" customFormat="1" x14ac:dyDescent="0.4">
      <c r="A515" s="38"/>
    </row>
    <row r="516" spans="1:1" s="31" customFormat="1" x14ac:dyDescent="0.4">
      <c r="A516" s="38"/>
    </row>
    <row r="517" spans="1:1" s="31" customFormat="1" x14ac:dyDescent="0.4">
      <c r="A517" s="38"/>
    </row>
    <row r="518" spans="1:1" s="31" customFormat="1" x14ac:dyDescent="0.4">
      <c r="A518" s="38"/>
    </row>
    <row r="519" spans="1:1" s="31" customFormat="1" x14ac:dyDescent="0.4">
      <c r="A519" s="38"/>
    </row>
    <row r="520" spans="1:1" s="31" customFormat="1" x14ac:dyDescent="0.4">
      <c r="A520" s="38"/>
    </row>
    <row r="521" spans="1:1" s="31" customFormat="1" x14ac:dyDescent="0.4">
      <c r="A521" s="38"/>
    </row>
    <row r="522" spans="1:1" s="31" customFormat="1" x14ac:dyDescent="0.4">
      <c r="A522" s="38"/>
    </row>
    <row r="523" spans="1:1" s="31" customFormat="1" x14ac:dyDescent="0.4">
      <c r="A523" s="38"/>
    </row>
    <row r="524" spans="1:1" s="31" customFormat="1" x14ac:dyDescent="0.4">
      <c r="A524" s="38"/>
    </row>
    <row r="525" spans="1:1" s="31" customFormat="1" x14ac:dyDescent="0.4">
      <c r="A525" s="38"/>
    </row>
    <row r="526" spans="1:1" s="31" customFormat="1" x14ac:dyDescent="0.4">
      <c r="A526" s="38"/>
    </row>
    <row r="527" spans="1:1" s="31" customFormat="1" x14ac:dyDescent="0.4">
      <c r="A527" s="38"/>
    </row>
    <row r="528" spans="1:1" s="31" customFormat="1" x14ac:dyDescent="0.4">
      <c r="A528" s="38"/>
    </row>
    <row r="529" spans="1:2" s="31" customFormat="1" x14ac:dyDescent="0.4">
      <c r="A529" s="38"/>
    </row>
    <row r="530" spans="1:2" s="31" customFormat="1" x14ac:dyDescent="0.4">
      <c r="A530" s="38"/>
    </row>
    <row r="531" spans="1:2" s="31" customFormat="1" x14ac:dyDescent="0.4">
      <c r="A531" s="38"/>
    </row>
    <row r="532" spans="1:2" s="31" customFormat="1" x14ac:dyDescent="0.4">
      <c r="A532" s="38"/>
    </row>
    <row r="533" spans="1:2" s="31" customFormat="1" x14ac:dyDescent="0.4">
      <c r="A533" s="38"/>
    </row>
    <row r="534" spans="1:2" s="31" customFormat="1" x14ac:dyDescent="0.4">
      <c r="A534" s="38"/>
    </row>
    <row r="535" spans="1:2" s="31" customFormat="1" x14ac:dyDescent="0.4">
      <c r="A535" s="38"/>
    </row>
    <row r="536" spans="1:2" s="31" customFormat="1" x14ac:dyDescent="0.4">
      <c r="A536" s="38"/>
    </row>
    <row r="537" spans="1:2" s="31" customFormat="1" x14ac:dyDescent="0.4">
      <c r="A537" s="38"/>
      <c r="B537" s="40"/>
    </row>
    <row r="538" spans="1:2" s="31" customFormat="1" x14ac:dyDescent="0.4">
      <c r="A538" s="38"/>
    </row>
    <row r="539" spans="1:2" s="31" customFormat="1" x14ac:dyDescent="0.4">
      <c r="A539" s="38"/>
    </row>
    <row r="540" spans="1:2" s="31" customFormat="1" x14ac:dyDescent="0.4">
      <c r="A540" s="38"/>
    </row>
    <row r="541" spans="1:2" s="31" customFormat="1" x14ac:dyDescent="0.4">
      <c r="A541" s="38"/>
    </row>
    <row r="542" spans="1:2" s="31" customFormat="1" x14ac:dyDescent="0.4">
      <c r="A542" s="38"/>
    </row>
    <row r="543" spans="1:2" s="31" customFormat="1" x14ac:dyDescent="0.4">
      <c r="A543" s="38"/>
    </row>
    <row r="544" spans="1:2" s="31" customFormat="1" x14ac:dyDescent="0.4">
      <c r="A544" s="38"/>
    </row>
    <row r="545" spans="1:2" s="31" customFormat="1" x14ac:dyDescent="0.4">
      <c r="A545" s="38"/>
    </row>
    <row r="546" spans="1:2" s="31" customFormat="1" x14ac:dyDescent="0.4">
      <c r="A546" s="38"/>
    </row>
    <row r="547" spans="1:2" s="31" customFormat="1" x14ac:dyDescent="0.4">
      <c r="A547" s="38"/>
    </row>
    <row r="548" spans="1:2" s="31" customFormat="1" x14ac:dyDescent="0.4">
      <c r="A548" s="38"/>
    </row>
    <row r="549" spans="1:2" s="31" customFormat="1" x14ac:dyDescent="0.4">
      <c r="A549" s="38"/>
      <c r="B549" s="40"/>
    </row>
    <row r="550" spans="1:2" s="31" customFormat="1" x14ac:dyDescent="0.4">
      <c r="A550" s="38"/>
    </row>
    <row r="551" spans="1:2" s="31" customFormat="1" x14ac:dyDescent="0.4">
      <c r="A551" s="38"/>
    </row>
    <row r="552" spans="1:2" s="31" customFormat="1" x14ac:dyDescent="0.4">
      <c r="A552" s="38"/>
    </row>
    <row r="553" spans="1:2" s="31" customFormat="1" x14ac:dyDescent="0.4">
      <c r="A553" s="38"/>
    </row>
    <row r="554" spans="1:2" s="31" customFormat="1" x14ac:dyDescent="0.4">
      <c r="A554" s="38"/>
    </row>
    <row r="555" spans="1:2" s="31" customFormat="1" x14ac:dyDescent="0.4">
      <c r="A555" s="38"/>
    </row>
    <row r="556" spans="1:2" s="31" customFormat="1" x14ac:dyDescent="0.4">
      <c r="A556" s="38"/>
    </row>
    <row r="557" spans="1:2" s="31" customFormat="1" x14ac:dyDescent="0.4">
      <c r="A557" s="38"/>
    </row>
    <row r="558" spans="1:2" s="31" customFormat="1" x14ac:dyDescent="0.4">
      <c r="A558" s="38"/>
    </row>
    <row r="559" spans="1:2" s="31" customFormat="1" x14ac:dyDescent="0.4">
      <c r="A559" s="38"/>
    </row>
    <row r="560" spans="1:2" s="31" customFormat="1" x14ac:dyDescent="0.4">
      <c r="A560" s="38"/>
    </row>
    <row r="561" spans="1:6" s="31" customFormat="1" x14ac:dyDescent="0.4">
      <c r="A561" s="38"/>
    </row>
    <row r="562" spans="1:6" s="31" customFormat="1" x14ac:dyDescent="0.4">
      <c r="A562" s="38"/>
    </row>
    <row r="563" spans="1:6" s="31" customFormat="1" x14ac:dyDescent="0.4">
      <c r="A563" s="38"/>
    </row>
    <row r="564" spans="1:6" s="31" customFormat="1" x14ac:dyDescent="0.4">
      <c r="A564" s="38"/>
    </row>
    <row r="565" spans="1:6" s="31" customFormat="1" x14ac:dyDescent="0.4">
      <c r="A565" s="38"/>
    </row>
    <row r="566" spans="1:6" s="31" customFormat="1" x14ac:dyDescent="0.4">
      <c r="A566" s="38"/>
    </row>
    <row r="567" spans="1:6" s="31" customFormat="1" x14ac:dyDescent="0.4">
      <c r="A567" s="38"/>
      <c r="D567" s="39"/>
      <c r="F567" s="39"/>
    </row>
    <row r="568" spans="1:6" s="31" customFormat="1" x14ac:dyDescent="0.4">
      <c r="A568" s="38"/>
      <c r="D568" s="39"/>
      <c r="F568" s="39"/>
    </row>
    <row r="569" spans="1:6" s="31" customFormat="1" x14ac:dyDescent="0.4">
      <c r="A569" s="38"/>
      <c r="D569" s="39"/>
      <c r="F569" s="39"/>
    </row>
    <row r="570" spans="1:6" s="31" customFormat="1" x14ac:dyDescent="0.4">
      <c r="A570" s="38"/>
      <c r="D570" s="39"/>
      <c r="F570" s="39"/>
    </row>
    <row r="571" spans="1:6" s="31" customFormat="1" x14ac:dyDescent="0.4">
      <c r="A571" s="38"/>
      <c r="D571" s="39"/>
      <c r="F571" s="39"/>
    </row>
    <row r="572" spans="1:6" s="31" customFormat="1" x14ac:dyDescent="0.4">
      <c r="A572" s="38"/>
      <c r="E572" s="39"/>
      <c r="F572" s="39"/>
    </row>
    <row r="573" spans="1:6" s="31" customFormat="1" x14ac:dyDescent="0.4">
      <c r="A573" s="38"/>
      <c r="D573" s="39"/>
      <c r="F573" s="39"/>
    </row>
    <row r="574" spans="1:6" s="31" customFormat="1" x14ac:dyDescent="0.4">
      <c r="A574" s="38"/>
      <c r="F574" s="39"/>
    </row>
    <row r="575" spans="1:6" s="31" customFormat="1" x14ac:dyDescent="0.4">
      <c r="A575" s="38"/>
      <c r="D575" s="39"/>
      <c r="F575" s="39"/>
    </row>
    <row r="576" spans="1:6" s="31" customFormat="1" x14ac:dyDescent="0.4">
      <c r="A576" s="38"/>
      <c r="D576" s="39"/>
      <c r="F576" s="39"/>
    </row>
    <row r="577" spans="1:6" s="31" customFormat="1" x14ac:dyDescent="0.4">
      <c r="A577" s="38"/>
      <c r="D577" s="39"/>
      <c r="F577" s="39"/>
    </row>
    <row r="578" spans="1:6" s="31" customFormat="1" x14ac:dyDescent="0.4">
      <c r="A578" s="38"/>
      <c r="D578" s="39"/>
      <c r="F578" s="39"/>
    </row>
    <row r="579" spans="1:6" s="31" customFormat="1" x14ac:dyDescent="0.4">
      <c r="A579" s="38"/>
      <c r="D579" s="39"/>
      <c r="F579" s="39"/>
    </row>
    <row r="580" spans="1:6" s="31" customFormat="1" x14ac:dyDescent="0.4">
      <c r="A580" s="38"/>
      <c r="D580" s="39"/>
      <c r="F580" s="39"/>
    </row>
    <row r="581" spans="1:6" s="31" customFormat="1" x14ac:dyDescent="0.4">
      <c r="A581" s="38"/>
      <c r="D581" s="39"/>
      <c r="F581" s="39"/>
    </row>
    <row r="582" spans="1:6" s="31" customFormat="1" x14ac:dyDescent="0.4">
      <c r="A582" s="38"/>
      <c r="E582" s="39"/>
      <c r="F582" s="39"/>
    </row>
    <row r="583" spans="1:6" s="31" customFormat="1" x14ac:dyDescent="0.4">
      <c r="A583" s="38"/>
      <c r="D583" s="39"/>
      <c r="F583" s="39"/>
    </row>
    <row r="584" spans="1:6" s="31" customFormat="1" x14ac:dyDescent="0.4">
      <c r="A584" s="38"/>
      <c r="F584" s="39"/>
    </row>
    <row r="585" spans="1:6" s="31" customFormat="1" x14ac:dyDescent="0.4">
      <c r="A585" s="38"/>
      <c r="D585" s="39"/>
      <c r="F585" s="39"/>
    </row>
    <row r="586" spans="1:6" s="31" customFormat="1" x14ac:dyDescent="0.4">
      <c r="A586" s="38"/>
      <c r="D586" s="39"/>
      <c r="F586" s="39"/>
    </row>
    <row r="587" spans="1:6" s="31" customFormat="1" x14ac:dyDescent="0.4">
      <c r="A587" s="38"/>
      <c r="D587" s="39"/>
      <c r="F587" s="39"/>
    </row>
    <row r="588" spans="1:6" s="31" customFormat="1" x14ac:dyDescent="0.4">
      <c r="A588" s="38"/>
      <c r="D588" s="39"/>
      <c r="F588" s="39"/>
    </row>
    <row r="589" spans="1:6" s="31" customFormat="1" x14ac:dyDescent="0.4">
      <c r="A589" s="38"/>
      <c r="D589" s="39"/>
      <c r="F589" s="39"/>
    </row>
    <row r="590" spans="1:6" s="31" customFormat="1" x14ac:dyDescent="0.4">
      <c r="A590" s="38"/>
      <c r="D590" s="39"/>
      <c r="F590" s="39"/>
    </row>
    <row r="591" spans="1:6" s="31" customFormat="1" x14ac:dyDescent="0.4">
      <c r="A591" s="38"/>
      <c r="F591" s="39"/>
    </row>
    <row r="592" spans="1:6" s="31" customFormat="1" x14ac:dyDescent="0.4">
      <c r="A592" s="38"/>
      <c r="D592" s="39"/>
      <c r="F592" s="39"/>
    </row>
    <row r="593" spans="1:6" s="31" customFormat="1" x14ac:dyDescent="0.4">
      <c r="A593" s="38"/>
      <c r="D593" s="39"/>
      <c r="F593" s="39"/>
    </row>
    <row r="594" spans="1:6" s="31" customFormat="1" x14ac:dyDescent="0.4">
      <c r="A594" s="38"/>
      <c r="D594" s="39"/>
      <c r="F594" s="39"/>
    </row>
    <row r="595" spans="1:6" s="31" customFormat="1" x14ac:dyDescent="0.4">
      <c r="A595" s="38"/>
      <c r="E595" s="39"/>
      <c r="F595" s="39"/>
    </row>
    <row r="596" spans="1:6" s="31" customFormat="1" x14ac:dyDescent="0.4">
      <c r="A596" s="38"/>
      <c r="D596" s="39"/>
      <c r="F596" s="39"/>
    </row>
    <row r="597" spans="1:6" s="31" customFormat="1" x14ac:dyDescent="0.4">
      <c r="A597" s="38"/>
      <c r="F597" s="39"/>
    </row>
    <row r="598" spans="1:6" s="31" customFormat="1" x14ac:dyDescent="0.4">
      <c r="A598" s="38"/>
      <c r="D598" s="39"/>
      <c r="F598" s="39"/>
    </row>
    <row r="599" spans="1:6" s="31" customFormat="1" x14ac:dyDescent="0.4">
      <c r="A599" s="38"/>
      <c r="D599" s="39"/>
      <c r="F599" s="39"/>
    </row>
    <row r="600" spans="1:6" s="31" customFormat="1" x14ac:dyDescent="0.4">
      <c r="A600" s="38"/>
      <c r="D600" s="39"/>
      <c r="F600" s="39"/>
    </row>
    <row r="601" spans="1:6" s="31" customFormat="1" x14ac:dyDescent="0.4">
      <c r="A601" s="38"/>
      <c r="D601" s="39"/>
      <c r="F601" s="39"/>
    </row>
    <row r="602" spans="1:6" s="31" customFormat="1" x14ac:dyDescent="0.4">
      <c r="A602" s="38"/>
      <c r="D602" s="39"/>
      <c r="F602" s="39"/>
    </row>
    <row r="603" spans="1:6" s="31" customFormat="1" x14ac:dyDescent="0.4">
      <c r="A603" s="38"/>
      <c r="D603" s="39"/>
      <c r="F603" s="39"/>
    </row>
    <row r="604" spans="1:6" s="31" customFormat="1" x14ac:dyDescent="0.4">
      <c r="A604" s="38"/>
      <c r="D604" s="39"/>
      <c r="F604" s="39"/>
    </row>
    <row r="605" spans="1:6" s="31" customFormat="1" x14ac:dyDescent="0.4">
      <c r="A605" s="38"/>
      <c r="E605" s="39"/>
      <c r="F605" s="39"/>
    </row>
    <row r="606" spans="1:6" s="31" customFormat="1" x14ac:dyDescent="0.4">
      <c r="A606" s="38"/>
      <c r="D606" s="39"/>
      <c r="F606" s="39"/>
    </row>
    <row r="607" spans="1:6" s="31" customFormat="1" x14ac:dyDescent="0.4">
      <c r="A607" s="38"/>
      <c r="F607" s="39"/>
    </row>
    <row r="608" spans="1:6" s="31" customFormat="1" x14ac:dyDescent="0.4">
      <c r="A608" s="38"/>
      <c r="D608" s="39"/>
      <c r="F608" s="39"/>
    </row>
    <row r="609" spans="1:6" s="31" customFormat="1" x14ac:dyDescent="0.4">
      <c r="A609" s="38"/>
      <c r="D609" s="39"/>
      <c r="F609" s="39"/>
    </row>
    <row r="610" spans="1:6" s="31" customFormat="1" x14ac:dyDescent="0.4">
      <c r="A610" s="38"/>
      <c r="F610" s="39"/>
    </row>
    <row r="611" spans="1:6" s="31" customFormat="1" x14ac:dyDescent="0.4">
      <c r="A611" s="38"/>
      <c r="D611" s="39"/>
      <c r="F611" s="39"/>
    </row>
    <row r="612" spans="1:6" s="31" customFormat="1" x14ac:dyDescent="0.4">
      <c r="A612" s="38"/>
      <c r="D612" s="39"/>
      <c r="F612" s="39"/>
    </row>
    <row r="613" spans="1:6" s="31" customFormat="1" x14ac:dyDescent="0.4">
      <c r="A613" s="38"/>
      <c r="D613" s="39"/>
      <c r="F613" s="39"/>
    </row>
    <row r="614" spans="1:6" s="31" customFormat="1" x14ac:dyDescent="0.4">
      <c r="A614" s="38"/>
      <c r="D614" s="39"/>
      <c r="F614" s="39"/>
    </row>
    <row r="615" spans="1:6" s="31" customFormat="1" x14ac:dyDescent="0.4">
      <c r="A615" s="38"/>
      <c r="D615" s="39"/>
      <c r="F615" s="39"/>
    </row>
    <row r="616" spans="1:6" s="31" customFormat="1" x14ac:dyDescent="0.4">
      <c r="A616" s="38"/>
      <c r="D616" s="39"/>
      <c r="F616" s="39"/>
    </row>
    <row r="617" spans="1:6" s="31" customFormat="1" x14ac:dyDescent="0.4">
      <c r="A617" s="38"/>
      <c r="E617" s="39"/>
      <c r="F617" s="39"/>
    </row>
    <row r="618" spans="1:6" s="31" customFormat="1" x14ac:dyDescent="0.4">
      <c r="A618" s="38"/>
      <c r="D618" s="39"/>
      <c r="F618" s="39"/>
    </row>
    <row r="619" spans="1:6" s="31" customFormat="1" x14ac:dyDescent="0.4">
      <c r="A619" s="38"/>
      <c r="F619" s="39"/>
    </row>
    <row r="620" spans="1:6" s="31" customFormat="1" x14ac:dyDescent="0.4">
      <c r="A620" s="38"/>
      <c r="D620" s="39"/>
      <c r="F620" s="39"/>
    </row>
    <row r="621" spans="1:6" s="31" customFormat="1" x14ac:dyDescent="0.4">
      <c r="A621" s="38"/>
      <c r="D621" s="39"/>
      <c r="F621" s="39"/>
    </row>
    <row r="622" spans="1:6" s="31" customFormat="1" x14ac:dyDescent="0.4">
      <c r="A622" s="38"/>
      <c r="D622" s="39"/>
      <c r="F622" s="39"/>
    </row>
    <row r="623" spans="1:6" s="31" customFormat="1" x14ac:dyDescent="0.4">
      <c r="A623" s="38"/>
      <c r="D623" s="39"/>
      <c r="F623" s="39"/>
    </row>
    <row r="624" spans="1:6" s="31" customFormat="1" x14ac:dyDescent="0.4">
      <c r="A624" s="38"/>
      <c r="E624" s="39"/>
      <c r="F624" s="39"/>
    </row>
    <row r="625" spans="1:6" s="31" customFormat="1" x14ac:dyDescent="0.4">
      <c r="A625" s="38"/>
      <c r="E625" s="39"/>
      <c r="F625" s="39"/>
    </row>
    <row r="626" spans="1:6" s="31" customFormat="1" x14ac:dyDescent="0.4">
      <c r="A626" s="38"/>
      <c r="D626" s="39"/>
      <c r="F626" s="39"/>
    </row>
    <row r="627" spans="1:6" s="31" customFormat="1" x14ac:dyDescent="0.4">
      <c r="A627" s="38"/>
      <c r="D627" s="39"/>
      <c r="F627" s="39"/>
    </row>
    <row r="628" spans="1:6" s="31" customFormat="1" x14ac:dyDescent="0.4">
      <c r="A628" s="38"/>
      <c r="D628" s="39"/>
      <c r="F628" s="39"/>
    </row>
    <row r="629" spans="1:6" s="31" customFormat="1" x14ac:dyDescent="0.4">
      <c r="A629" s="38"/>
      <c r="D629" s="39"/>
      <c r="F629" s="39"/>
    </row>
    <row r="630" spans="1:6" s="31" customFormat="1" x14ac:dyDescent="0.4">
      <c r="A630" s="38"/>
      <c r="E630" s="39"/>
      <c r="F630" s="39"/>
    </row>
    <row r="631" spans="1:6" s="31" customFormat="1" x14ac:dyDescent="0.4">
      <c r="A631" s="38"/>
      <c r="D631" s="39"/>
      <c r="F631" s="39"/>
    </row>
    <row r="632" spans="1:6" s="31" customFormat="1" x14ac:dyDescent="0.4">
      <c r="A632" s="38"/>
      <c r="F632" s="39"/>
    </row>
    <row r="633" spans="1:6" s="31" customFormat="1" x14ac:dyDescent="0.4">
      <c r="A633" s="38"/>
      <c r="D633" s="39"/>
      <c r="F633" s="39"/>
    </row>
    <row r="634" spans="1:6" s="31" customFormat="1" x14ac:dyDescent="0.4">
      <c r="A634" s="38"/>
      <c r="D634" s="39"/>
      <c r="F634" s="39"/>
    </row>
    <row r="635" spans="1:6" s="31" customFormat="1" x14ac:dyDescent="0.4">
      <c r="A635" s="38"/>
      <c r="D635" s="39"/>
      <c r="F635" s="39"/>
    </row>
    <row r="636" spans="1:6" s="31" customFormat="1" x14ac:dyDescent="0.4">
      <c r="A636" s="38"/>
      <c r="D636" s="39"/>
      <c r="F636" s="39"/>
    </row>
    <row r="637" spans="1:6" s="31" customFormat="1" x14ac:dyDescent="0.4">
      <c r="A637" s="38"/>
      <c r="D637" s="39"/>
      <c r="F637" s="39"/>
    </row>
    <row r="638" spans="1:6" s="31" customFormat="1" x14ac:dyDescent="0.4">
      <c r="A638" s="38"/>
      <c r="D638" s="39"/>
      <c r="F638" s="39"/>
    </row>
    <row r="639" spans="1:6" s="31" customFormat="1" x14ac:dyDescent="0.4">
      <c r="A639" s="38"/>
      <c r="D639" s="39"/>
      <c r="F639" s="39"/>
    </row>
    <row r="640" spans="1:6" s="31" customFormat="1" x14ac:dyDescent="0.4">
      <c r="A640" s="38"/>
      <c r="E640" s="39"/>
      <c r="F640" s="39"/>
    </row>
    <row r="641" spans="1:6" s="31" customFormat="1" x14ac:dyDescent="0.4">
      <c r="A641" s="38"/>
      <c r="D641" s="39"/>
      <c r="F641" s="39"/>
    </row>
    <row r="642" spans="1:6" s="31" customFormat="1" x14ac:dyDescent="0.4">
      <c r="A642" s="38"/>
      <c r="F642" s="39"/>
    </row>
    <row r="643" spans="1:6" s="31" customFormat="1" x14ac:dyDescent="0.4">
      <c r="A643" s="38"/>
      <c r="D643" s="39"/>
      <c r="F643" s="39"/>
    </row>
    <row r="644" spans="1:6" s="31" customFormat="1" x14ac:dyDescent="0.4">
      <c r="A644" s="38"/>
      <c r="D644" s="39"/>
      <c r="F644" s="39"/>
    </row>
    <row r="645" spans="1:6" s="31" customFormat="1" x14ac:dyDescent="0.4">
      <c r="A645" s="38"/>
      <c r="D645" s="39"/>
      <c r="F645" s="39"/>
    </row>
    <row r="646" spans="1:6" s="31" customFormat="1" x14ac:dyDescent="0.4">
      <c r="A646" s="38"/>
      <c r="D646" s="39"/>
      <c r="F646" s="39"/>
    </row>
    <row r="647" spans="1:6" s="31" customFormat="1" x14ac:dyDescent="0.4">
      <c r="A647" s="38"/>
      <c r="D647" s="39"/>
      <c r="F647" s="39"/>
    </row>
    <row r="648" spans="1:6" s="31" customFormat="1" x14ac:dyDescent="0.4">
      <c r="A648" s="38"/>
      <c r="D648" s="39"/>
      <c r="F648" s="39"/>
    </row>
    <row r="649" spans="1:6" s="31" customFormat="1" x14ac:dyDescent="0.4">
      <c r="A649" s="38"/>
      <c r="D649" s="39"/>
      <c r="F649" s="39"/>
    </row>
    <row r="650" spans="1:6" s="31" customFormat="1" x14ac:dyDescent="0.4">
      <c r="A650" s="38"/>
      <c r="E650" s="39"/>
      <c r="F650" s="39"/>
    </row>
    <row r="651" spans="1:6" s="31" customFormat="1" x14ac:dyDescent="0.4">
      <c r="A651" s="38"/>
      <c r="D651" s="39"/>
      <c r="F651" s="39"/>
    </row>
    <row r="652" spans="1:6" s="31" customFormat="1" x14ac:dyDescent="0.4">
      <c r="A652" s="38"/>
      <c r="F652" s="39"/>
    </row>
    <row r="653" spans="1:6" s="31" customFormat="1" x14ac:dyDescent="0.4">
      <c r="A653" s="38"/>
      <c r="D653" s="39"/>
      <c r="F653" s="39"/>
    </row>
    <row r="654" spans="1:6" s="31" customFormat="1" x14ac:dyDescent="0.4">
      <c r="A654" s="38"/>
      <c r="D654" s="39"/>
      <c r="F654" s="39"/>
    </row>
    <row r="655" spans="1:6" s="31" customFormat="1" x14ac:dyDescent="0.4">
      <c r="A655" s="38"/>
      <c r="D655" s="39"/>
      <c r="F655" s="39"/>
    </row>
    <row r="656" spans="1:6" s="31" customFormat="1" x14ac:dyDescent="0.4">
      <c r="A656" s="38"/>
      <c r="D656" s="39"/>
      <c r="F656" s="39"/>
    </row>
    <row r="657" spans="1:6" s="31" customFormat="1" x14ac:dyDescent="0.4">
      <c r="A657" s="38"/>
      <c r="E657" s="39"/>
      <c r="F657" s="39"/>
    </row>
    <row r="658" spans="1:6" s="31" customFormat="1" x14ac:dyDescent="0.4">
      <c r="A658" s="38"/>
      <c r="F658" s="39"/>
    </row>
    <row r="659" spans="1:6" s="31" customFormat="1" x14ac:dyDescent="0.4">
      <c r="A659" s="38"/>
      <c r="D659" s="39"/>
      <c r="F659" s="39"/>
    </row>
    <row r="660" spans="1:6" s="31" customFormat="1" x14ac:dyDescent="0.4">
      <c r="A660" s="38"/>
      <c r="D660" s="39"/>
      <c r="F660" s="39"/>
    </row>
    <row r="661" spans="1:6" s="31" customFormat="1" x14ac:dyDescent="0.4">
      <c r="A661" s="38"/>
      <c r="D661" s="39"/>
      <c r="F661" s="39"/>
    </row>
    <row r="662" spans="1:6" s="31" customFormat="1" x14ac:dyDescent="0.4">
      <c r="A662" s="38"/>
      <c r="D662" s="39"/>
      <c r="F662" s="39"/>
    </row>
    <row r="663" spans="1:6" s="31" customFormat="1" x14ac:dyDescent="0.4">
      <c r="A663" s="38"/>
      <c r="F663" s="39"/>
    </row>
    <row r="664" spans="1:6" s="31" customFormat="1" x14ac:dyDescent="0.4">
      <c r="A664" s="38"/>
      <c r="E664" s="39"/>
      <c r="F664" s="39"/>
    </row>
    <row r="665" spans="1:6" s="31" customFormat="1" x14ac:dyDescent="0.4">
      <c r="A665" s="38"/>
      <c r="D665" s="39"/>
      <c r="F665" s="39"/>
    </row>
    <row r="666" spans="1:6" s="31" customFormat="1" x14ac:dyDescent="0.4">
      <c r="A666" s="38"/>
      <c r="F666" s="39"/>
    </row>
    <row r="667" spans="1:6" s="31" customFormat="1" x14ac:dyDescent="0.4">
      <c r="A667" s="38"/>
      <c r="D667" s="39"/>
      <c r="F667" s="39"/>
    </row>
    <row r="668" spans="1:6" s="31" customFormat="1" x14ac:dyDescent="0.4">
      <c r="A668" s="38"/>
      <c r="D668" s="39"/>
      <c r="F668" s="39"/>
    </row>
    <row r="669" spans="1:6" s="31" customFormat="1" x14ac:dyDescent="0.4">
      <c r="A669" s="38"/>
      <c r="D669" s="39"/>
      <c r="F669" s="39"/>
    </row>
    <row r="670" spans="1:6" s="31" customFormat="1" x14ac:dyDescent="0.4">
      <c r="A670" s="38"/>
      <c r="D670" s="39"/>
      <c r="F670" s="39"/>
    </row>
    <row r="671" spans="1:6" s="31" customFormat="1" x14ac:dyDescent="0.4">
      <c r="A671" s="38"/>
      <c r="D671" s="39"/>
      <c r="F671" s="39"/>
    </row>
    <row r="672" spans="1:6" s="31" customFormat="1" x14ac:dyDescent="0.4">
      <c r="A672" s="38"/>
      <c r="D672" s="39"/>
      <c r="F672" s="39"/>
    </row>
    <row r="673" spans="1:6" s="31" customFormat="1" x14ac:dyDescent="0.4">
      <c r="A673" s="38"/>
      <c r="D673" s="39"/>
      <c r="F673" s="39"/>
    </row>
    <row r="674" spans="1:6" s="31" customFormat="1" x14ac:dyDescent="0.4">
      <c r="A674" s="38"/>
      <c r="D674" s="39"/>
      <c r="F674" s="39"/>
    </row>
    <row r="675" spans="1:6" s="31" customFormat="1" x14ac:dyDescent="0.4">
      <c r="A675" s="38"/>
      <c r="E675" s="39"/>
      <c r="F675" s="39"/>
    </row>
    <row r="676" spans="1:6" s="31" customFormat="1" x14ac:dyDescent="0.4">
      <c r="A676" s="38"/>
      <c r="D676" s="39"/>
      <c r="F676" s="39"/>
    </row>
    <row r="677" spans="1:6" s="31" customFormat="1" x14ac:dyDescent="0.4">
      <c r="A677" s="38"/>
      <c r="F677" s="39"/>
    </row>
    <row r="678" spans="1:6" s="31" customFormat="1" x14ac:dyDescent="0.4">
      <c r="A678" s="38"/>
      <c r="D678" s="39"/>
      <c r="F678" s="39"/>
    </row>
    <row r="679" spans="1:6" s="31" customFormat="1" x14ac:dyDescent="0.4">
      <c r="A679" s="38"/>
      <c r="D679" s="39"/>
      <c r="F679" s="39"/>
    </row>
    <row r="680" spans="1:6" s="31" customFormat="1" x14ac:dyDescent="0.4">
      <c r="A680" s="38"/>
      <c r="D680" s="39"/>
      <c r="F680" s="39"/>
    </row>
    <row r="681" spans="1:6" s="31" customFormat="1" x14ac:dyDescent="0.4">
      <c r="A681" s="38"/>
      <c r="D681" s="39"/>
      <c r="F681" s="39"/>
    </row>
    <row r="682" spans="1:6" s="31" customFormat="1" x14ac:dyDescent="0.4">
      <c r="A682" s="38"/>
      <c r="D682" s="39"/>
      <c r="F682" s="39"/>
    </row>
    <row r="683" spans="1:6" s="31" customFormat="1" x14ac:dyDescent="0.4">
      <c r="A683" s="38"/>
      <c r="D683" s="39"/>
      <c r="F683" s="39"/>
    </row>
    <row r="684" spans="1:6" s="31" customFormat="1" x14ac:dyDescent="0.4">
      <c r="A684" s="38"/>
      <c r="D684" s="39"/>
      <c r="F684" s="39"/>
    </row>
    <row r="685" spans="1:6" s="31" customFormat="1" x14ac:dyDescent="0.4">
      <c r="A685" s="38"/>
      <c r="D685" s="39"/>
      <c r="F685" s="39"/>
    </row>
    <row r="686" spans="1:6" s="31" customFormat="1" x14ac:dyDescent="0.4">
      <c r="A686" s="38"/>
      <c r="E686" s="39"/>
      <c r="F686" s="39"/>
    </row>
    <row r="687" spans="1:6" s="31" customFormat="1" x14ac:dyDescent="0.4">
      <c r="A687" s="38"/>
      <c r="D687" s="39"/>
      <c r="F687" s="39"/>
    </row>
    <row r="688" spans="1:6" s="31" customFormat="1" x14ac:dyDescent="0.4">
      <c r="A688" s="38"/>
      <c r="F688" s="39"/>
    </row>
    <row r="689" spans="1:6" s="31" customFormat="1" x14ac:dyDescent="0.4">
      <c r="A689" s="38"/>
      <c r="D689" s="39"/>
      <c r="F689" s="39"/>
    </row>
    <row r="690" spans="1:6" s="31" customFormat="1" x14ac:dyDescent="0.4">
      <c r="A690" s="38"/>
      <c r="D690" s="39"/>
      <c r="F690" s="39"/>
    </row>
    <row r="691" spans="1:6" s="31" customFormat="1" x14ac:dyDescent="0.4">
      <c r="A691" s="38"/>
      <c r="D691" s="39"/>
      <c r="F691" s="39"/>
    </row>
    <row r="692" spans="1:6" s="31" customFormat="1" x14ac:dyDescent="0.4">
      <c r="A692" s="38"/>
      <c r="D692" s="39"/>
      <c r="F692" s="39"/>
    </row>
    <row r="693" spans="1:6" s="31" customFormat="1" x14ac:dyDescent="0.4">
      <c r="A693" s="38"/>
      <c r="D693" s="39"/>
      <c r="F693" s="39"/>
    </row>
    <row r="694" spans="1:6" s="31" customFormat="1" x14ac:dyDescent="0.4">
      <c r="A694" s="38"/>
      <c r="D694" s="39"/>
      <c r="F694" s="39"/>
    </row>
    <row r="695" spans="1:6" s="31" customFormat="1" x14ac:dyDescent="0.4">
      <c r="A695" s="38"/>
      <c r="D695" s="39"/>
      <c r="F695" s="39"/>
    </row>
    <row r="696" spans="1:6" s="31" customFormat="1" x14ac:dyDescent="0.4">
      <c r="A696" s="38"/>
      <c r="E696" s="39"/>
      <c r="F696" s="39"/>
    </row>
    <row r="697" spans="1:6" s="31" customFormat="1" x14ac:dyDescent="0.4">
      <c r="A697" s="38"/>
      <c r="D697" s="39"/>
      <c r="F697" s="39"/>
    </row>
    <row r="698" spans="1:6" s="31" customFormat="1" x14ac:dyDescent="0.4">
      <c r="A698" s="38"/>
      <c r="F698" s="39"/>
    </row>
    <row r="699" spans="1:6" s="31" customFormat="1" x14ac:dyDescent="0.4">
      <c r="A699" s="38"/>
      <c r="D699" s="39"/>
      <c r="F699" s="39"/>
    </row>
    <row r="700" spans="1:6" s="31" customFormat="1" x14ac:dyDescent="0.4">
      <c r="A700" s="38"/>
      <c r="D700" s="39"/>
      <c r="F700" s="39"/>
    </row>
    <row r="701" spans="1:6" s="31" customFormat="1" x14ac:dyDescent="0.4">
      <c r="A701" s="38"/>
      <c r="D701" s="39"/>
      <c r="F701" s="39"/>
    </row>
    <row r="702" spans="1:6" s="31" customFormat="1" x14ac:dyDescent="0.4">
      <c r="A702" s="38"/>
      <c r="D702" s="39"/>
      <c r="F702" s="39"/>
    </row>
    <row r="703" spans="1:6" s="31" customFormat="1" x14ac:dyDescent="0.4">
      <c r="A703" s="38"/>
      <c r="D703" s="39"/>
      <c r="F703" s="39"/>
    </row>
    <row r="704" spans="1:6" s="31" customFormat="1" x14ac:dyDescent="0.4">
      <c r="A704" s="38"/>
      <c r="D704" s="39"/>
      <c r="F704" s="39"/>
    </row>
    <row r="705" spans="1:6" s="31" customFormat="1" x14ac:dyDescent="0.4">
      <c r="A705" s="38"/>
      <c r="F705" s="39"/>
    </row>
    <row r="706" spans="1:6" s="31" customFormat="1" x14ac:dyDescent="0.4">
      <c r="A706" s="38"/>
      <c r="D706" s="39"/>
      <c r="F706" s="39"/>
    </row>
    <row r="707" spans="1:6" s="31" customFormat="1" x14ac:dyDescent="0.4">
      <c r="A707" s="38"/>
      <c r="D707" s="39"/>
      <c r="F707" s="39"/>
    </row>
    <row r="708" spans="1:6" s="31" customFormat="1" x14ac:dyDescent="0.4">
      <c r="A708" s="38"/>
      <c r="D708" s="39"/>
      <c r="F708" s="39"/>
    </row>
    <row r="709" spans="1:6" s="31" customFormat="1" x14ac:dyDescent="0.4">
      <c r="A709" s="38"/>
      <c r="E709" s="39"/>
      <c r="F709" s="39"/>
    </row>
    <row r="710" spans="1:6" s="31" customFormat="1" x14ac:dyDescent="0.4">
      <c r="A710" s="38"/>
      <c r="D710" s="39"/>
      <c r="F710" s="39"/>
    </row>
    <row r="711" spans="1:6" s="31" customFormat="1" x14ac:dyDescent="0.4">
      <c r="A711" s="38"/>
      <c r="F711" s="39"/>
    </row>
    <row r="712" spans="1:6" s="31" customFormat="1" x14ac:dyDescent="0.4">
      <c r="A712" s="38"/>
      <c r="D712" s="39"/>
      <c r="F712" s="39"/>
    </row>
    <row r="713" spans="1:6" s="31" customFormat="1" x14ac:dyDescent="0.4">
      <c r="A713" s="38"/>
      <c r="D713" s="39"/>
      <c r="F713" s="39"/>
    </row>
    <row r="714" spans="1:6" s="31" customFormat="1" x14ac:dyDescent="0.4">
      <c r="A714" s="38"/>
      <c r="D714" s="39"/>
      <c r="F714" s="39"/>
    </row>
    <row r="715" spans="1:6" s="31" customFormat="1" x14ac:dyDescent="0.4">
      <c r="A715" s="38"/>
      <c r="D715" s="39"/>
      <c r="F715" s="39"/>
    </row>
    <row r="716" spans="1:6" s="31" customFormat="1" x14ac:dyDescent="0.4">
      <c r="A716" s="38"/>
      <c r="D716" s="39"/>
      <c r="F716" s="39"/>
    </row>
    <row r="717" spans="1:6" s="31" customFormat="1" x14ac:dyDescent="0.4">
      <c r="A717" s="38"/>
      <c r="D717" s="39"/>
      <c r="F717" s="39"/>
    </row>
    <row r="718" spans="1:6" s="31" customFormat="1" x14ac:dyDescent="0.4">
      <c r="A718" s="38"/>
      <c r="D718" s="39"/>
      <c r="F718" s="39"/>
    </row>
    <row r="719" spans="1:6" s="31" customFormat="1" x14ac:dyDescent="0.4">
      <c r="A719" s="38"/>
      <c r="E719" s="39"/>
      <c r="F719" s="39"/>
    </row>
    <row r="720" spans="1:6" s="31" customFormat="1" x14ac:dyDescent="0.4">
      <c r="A720" s="38"/>
      <c r="D720" s="39"/>
      <c r="F720" s="39"/>
    </row>
    <row r="721" spans="1:6" s="31" customFormat="1" x14ac:dyDescent="0.4">
      <c r="A721" s="38"/>
      <c r="F721" s="39"/>
    </row>
    <row r="722" spans="1:6" s="31" customFormat="1" x14ac:dyDescent="0.4">
      <c r="A722" s="38"/>
      <c r="D722" s="39"/>
      <c r="F722" s="39"/>
    </row>
    <row r="723" spans="1:6" s="31" customFormat="1" x14ac:dyDescent="0.4">
      <c r="A723" s="38"/>
      <c r="D723" s="39"/>
      <c r="F723" s="39"/>
    </row>
    <row r="724" spans="1:6" s="31" customFormat="1" x14ac:dyDescent="0.4">
      <c r="A724" s="38"/>
      <c r="F724" s="39"/>
    </row>
    <row r="725" spans="1:6" s="31" customFormat="1" x14ac:dyDescent="0.4">
      <c r="A725" s="38"/>
      <c r="D725" s="39"/>
      <c r="F725" s="39"/>
    </row>
    <row r="726" spans="1:6" s="31" customFormat="1" x14ac:dyDescent="0.4">
      <c r="A726" s="38"/>
      <c r="D726" s="39"/>
      <c r="F726" s="39"/>
    </row>
    <row r="727" spans="1:6" s="31" customFormat="1" x14ac:dyDescent="0.4">
      <c r="A727" s="38"/>
      <c r="D727" s="39"/>
      <c r="F727" s="39"/>
    </row>
    <row r="728" spans="1:6" s="31" customFormat="1" x14ac:dyDescent="0.4">
      <c r="A728" s="38"/>
      <c r="D728" s="39"/>
      <c r="F728" s="39"/>
    </row>
    <row r="729" spans="1:6" s="31" customFormat="1" x14ac:dyDescent="0.4">
      <c r="A729" s="38"/>
      <c r="D729" s="39"/>
      <c r="F729" s="39"/>
    </row>
    <row r="730" spans="1:6" s="31" customFormat="1" x14ac:dyDescent="0.4">
      <c r="A730" s="38"/>
      <c r="D730" s="39"/>
      <c r="F730" s="39"/>
    </row>
    <row r="731" spans="1:6" s="31" customFormat="1" x14ac:dyDescent="0.4">
      <c r="A731" s="38"/>
      <c r="E731" s="39"/>
      <c r="F731" s="39"/>
    </row>
    <row r="732" spans="1:6" s="31" customFormat="1" x14ac:dyDescent="0.4">
      <c r="A732" s="38"/>
      <c r="D732" s="39"/>
      <c r="F732" s="39"/>
    </row>
    <row r="733" spans="1:6" s="31" customFormat="1" x14ac:dyDescent="0.4">
      <c r="A733" s="38"/>
      <c r="F733" s="39"/>
    </row>
    <row r="734" spans="1:6" s="31" customFormat="1" x14ac:dyDescent="0.4">
      <c r="A734" s="38"/>
      <c r="D734" s="39"/>
      <c r="F734" s="39"/>
    </row>
    <row r="735" spans="1:6" s="31" customFormat="1" x14ac:dyDescent="0.4">
      <c r="A735" s="38"/>
      <c r="D735" s="39"/>
      <c r="F735" s="39"/>
    </row>
    <row r="736" spans="1:6" s="31" customFormat="1" x14ac:dyDescent="0.4">
      <c r="A736" s="38"/>
      <c r="D736" s="39"/>
      <c r="F736" s="39"/>
    </row>
    <row r="737" spans="1:6" s="31" customFormat="1" x14ac:dyDescent="0.4">
      <c r="A737" s="38"/>
      <c r="D737" s="39"/>
      <c r="F737" s="39"/>
    </row>
    <row r="738" spans="1:6" s="31" customFormat="1" x14ac:dyDescent="0.4">
      <c r="A738" s="38"/>
      <c r="E738" s="39"/>
      <c r="F738" s="39"/>
    </row>
    <row r="739" spans="1:6" s="31" customFormat="1" x14ac:dyDescent="0.4">
      <c r="A739" s="38"/>
      <c r="E739" s="39"/>
      <c r="F739" s="39"/>
    </row>
    <row r="740" spans="1:6" s="31" customFormat="1" x14ac:dyDescent="0.4">
      <c r="A740" s="38"/>
      <c r="D740" s="39"/>
      <c r="F740" s="39"/>
    </row>
    <row r="741" spans="1:6" s="31" customFormat="1" x14ac:dyDescent="0.4">
      <c r="A741" s="38"/>
      <c r="D741" s="39"/>
      <c r="F741" s="39"/>
    </row>
    <row r="742" spans="1:6" s="31" customFormat="1" x14ac:dyDescent="0.4">
      <c r="A742" s="38"/>
      <c r="D742" s="39"/>
      <c r="F742" s="39"/>
    </row>
    <row r="743" spans="1:6" s="31" customFormat="1" x14ac:dyDescent="0.4">
      <c r="A743" s="38"/>
      <c r="D743" s="39"/>
      <c r="F743" s="39"/>
    </row>
    <row r="744" spans="1:6" s="31" customFormat="1" x14ac:dyDescent="0.4">
      <c r="A744" s="38"/>
      <c r="E744" s="39"/>
      <c r="F744" s="39"/>
    </row>
    <row r="745" spans="1:6" s="31" customFormat="1" x14ac:dyDescent="0.4">
      <c r="A745" s="38"/>
      <c r="D745" s="39"/>
      <c r="F745" s="39"/>
    </row>
    <row r="746" spans="1:6" s="31" customFormat="1" x14ac:dyDescent="0.4">
      <c r="A746" s="38"/>
      <c r="F746" s="39"/>
    </row>
    <row r="747" spans="1:6" s="31" customFormat="1" x14ac:dyDescent="0.4">
      <c r="A747" s="38"/>
      <c r="D747" s="39"/>
      <c r="F747" s="39"/>
    </row>
    <row r="748" spans="1:6" s="31" customFormat="1" x14ac:dyDescent="0.4">
      <c r="A748" s="38"/>
      <c r="D748" s="39"/>
      <c r="F748" s="39"/>
    </row>
    <row r="749" spans="1:6" s="31" customFormat="1" x14ac:dyDescent="0.4">
      <c r="A749" s="38"/>
      <c r="D749" s="39"/>
      <c r="F749" s="39"/>
    </row>
    <row r="750" spans="1:6" s="31" customFormat="1" x14ac:dyDescent="0.4">
      <c r="A750" s="38"/>
      <c r="D750" s="39"/>
      <c r="F750" s="39"/>
    </row>
    <row r="751" spans="1:6" s="31" customFormat="1" x14ac:dyDescent="0.4">
      <c r="A751" s="38"/>
      <c r="D751" s="39"/>
      <c r="F751" s="39"/>
    </row>
    <row r="752" spans="1:6" s="31" customFormat="1" x14ac:dyDescent="0.4">
      <c r="A752" s="38"/>
      <c r="D752" s="39"/>
      <c r="F752" s="39"/>
    </row>
    <row r="753" spans="1:6" s="31" customFormat="1" x14ac:dyDescent="0.4">
      <c r="A753" s="38"/>
      <c r="D753" s="39"/>
      <c r="F753" s="39"/>
    </row>
    <row r="754" spans="1:6" s="31" customFormat="1" x14ac:dyDescent="0.4">
      <c r="A754" s="38"/>
      <c r="E754" s="39"/>
      <c r="F754" s="39"/>
    </row>
    <row r="755" spans="1:6" s="31" customFormat="1" x14ac:dyDescent="0.4">
      <c r="A755" s="38"/>
      <c r="D755" s="39"/>
      <c r="F755" s="39"/>
    </row>
    <row r="756" spans="1:6" s="31" customFormat="1" x14ac:dyDescent="0.4">
      <c r="A756" s="38"/>
      <c r="F756" s="39"/>
    </row>
    <row r="757" spans="1:6" s="31" customFormat="1" x14ac:dyDescent="0.4">
      <c r="A757" s="38"/>
      <c r="D757" s="39"/>
      <c r="F757" s="39"/>
    </row>
    <row r="758" spans="1:6" s="31" customFormat="1" x14ac:dyDescent="0.4">
      <c r="A758" s="38"/>
      <c r="D758" s="39"/>
      <c r="F758" s="39"/>
    </row>
    <row r="759" spans="1:6" s="31" customFormat="1" x14ac:dyDescent="0.4">
      <c r="A759" s="38"/>
      <c r="D759" s="39"/>
      <c r="F759" s="39"/>
    </row>
    <row r="760" spans="1:6" s="31" customFormat="1" x14ac:dyDescent="0.4">
      <c r="A760" s="38"/>
      <c r="D760" s="39"/>
      <c r="F760" s="39"/>
    </row>
    <row r="761" spans="1:6" s="31" customFormat="1" x14ac:dyDescent="0.4">
      <c r="A761" s="38"/>
      <c r="D761" s="39"/>
      <c r="F761" s="39"/>
    </row>
    <row r="762" spans="1:6" s="31" customFormat="1" x14ac:dyDescent="0.4">
      <c r="A762" s="38"/>
      <c r="D762" s="39"/>
      <c r="F762" s="39"/>
    </row>
    <row r="763" spans="1:6" s="31" customFormat="1" x14ac:dyDescent="0.4">
      <c r="A763" s="38"/>
      <c r="D763" s="39"/>
      <c r="F763" s="39"/>
    </row>
    <row r="764" spans="1:6" s="31" customFormat="1" x14ac:dyDescent="0.4">
      <c r="A764" s="38"/>
      <c r="E764" s="39"/>
      <c r="F764" s="39"/>
    </row>
    <row r="765" spans="1:6" s="31" customFormat="1" x14ac:dyDescent="0.4">
      <c r="A765" s="38"/>
      <c r="D765" s="39"/>
      <c r="F765" s="39"/>
    </row>
    <row r="766" spans="1:6" s="31" customFormat="1" x14ac:dyDescent="0.4">
      <c r="A766" s="38"/>
      <c r="F766" s="39"/>
    </row>
    <row r="767" spans="1:6" s="31" customFormat="1" x14ac:dyDescent="0.4">
      <c r="A767" s="38"/>
      <c r="D767" s="39"/>
      <c r="F767" s="39"/>
    </row>
    <row r="768" spans="1:6" s="31" customFormat="1" x14ac:dyDescent="0.4">
      <c r="A768" s="38"/>
      <c r="D768" s="39"/>
      <c r="F768" s="39"/>
    </row>
    <row r="769" spans="1:6" s="31" customFormat="1" x14ac:dyDescent="0.4">
      <c r="A769" s="38"/>
      <c r="D769" s="39"/>
      <c r="F769" s="39"/>
    </row>
    <row r="770" spans="1:6" s="31" customFormat="1" x14ac:dyDescent="0.4">
      <c r="A770" s="38"/>
      <c r="D770" s="39"/>
      <c r="F770" s="39"/>
    </row>
    <row r="771" spans="1:6" s="31" customFormat="1" x14ac:dyDescent="0.4">
      <c r="A771" s="38"/>
      <c r="E771" s="39"/>
      <c r="F771" s="39"/>
    </row>
    <row r="772" spans="1:6" s="31" customFormat="1" x14ac:dyDescent="0.4">
      <c r="A772" s="38"/>
      <c r="F772" s="39"/>
    </row>
    <row r="773" spans="1:6" s="31" customFormat="1" x14ac:dyDescent="0.4">
      <c r="A773" s="38"/>
      <c r="D773" s="39"/>
      <c r="F773" s="39"/>
    </row>
    <row r="774" spans="1:6" s="31" customFormat="1" x14ac:dyDescent="0.4">
      <c r="A774" s="38"/>
      <c r="D774" s="39"/>
      <c r="F774" s="39"/>
    </row>
    <row r="775" spans="1:6" s="31" customFormat="1" x14ac:dyDescent="0.4">
      <c r="A775" s="38"/>
      <c r="D775" s="39"/>
      <c r="F775" s="39"/>
    </row>
    <row r="776" spans="1:6" s="31" customFormat="1" x14ac:dyDescent="0.4">
      <c r="A776" s="38"/>
      <c r="D776" s="39"/>
      <c r="F776" s="39"/>
    </row>
    <row r="777" spans="1:6" s="31" customFormat="1" x14ac:dyDescent="0.4">
      <c r="A777" s="38"/>
      <c r="F777" s="39"/>
    </row>
    <row r="778" spans="1:6" s="31" customFormat="1" x14ac:dyDescent="0.4">
      <c r="A778" s="38"/>
      <c r="E778" s="39"/>
      <c r="F778" s="39"/>
    </row>
    <row r="779" spans="1:6" s="31" customFormat="1" x14ac:dyDescent="0.4">
      <c r="A779" s="38"/>
      <c r="D779" s="39"/>
      <c r="F779" s="39"/>
    </row>
    <row r="780" spans="1:6" s="31" customFormat="1" x14ac:dyDescent="0.4">
      <c r="A780" s="38"/>
      <c r="F780" s="39"/>
    </row>
    <row r="781" spans="1:6" s="31" customFormat="1" x14ac:dyDescent="0.4">
      <c r="A781" s="38"/>
      <c r="D781" s="39"/>
      <c r="F781" s="39"/>
    </row>
    <row r="782" spans="1:6" s="31" customFormat="1" x14ac:dyDescent="0.4">
      <c r="A782" s="38"/>
      <c r="D782" s="39"/>
      <c r="F782" s="39"/>
    </row>
    <row r="783" spans="1:6" s="31" customFormat="1" x14ac:dyDescent="0.4">
      <c r="A783" s="38"/>
      <c r="D783" s="39"/>
      <c r="F783" s="39"/>
    </row>
    <row r="784" spans="1:6" s="31" customFormat="1" x14ac:dyDescent="0.4">
      <c r="A784" s="38"/>
      <c r="D784" s="39"/>
      <c r="F784" s="39"/>
    </row>
    <row r="785" spans="1:6" s="31" customFormat="1" x14ac:dyDescent="0.4">
      <c r="A785" s="38"/>
      <c r="D785" s="39"/>
      <c r="F785" s="39"/>
    </row>
    <row r="786" spans="1:6" s="31" customFormat="1" x14ac:dyDescent="0.4">
      <c r="A786" s="38"/>
      <c r="D786" s="39"/>
      <c r="F786" s="39"/>
    </row>
    <row r="787" spans="1:6" s="31" customFormat="1" x14ac:dyDescent="0.4">
      <c r="A787" s="38"/>
      <c r="D787" s="39"/>
      <c r="F787" s="39"/>
    </row>
    <row r="788" spans="1:6" s="31" customFormat="1" x14ac:dyDescent="0.4">
      <c r="A788" s="38"/>
      <c r="D788" s="39"/>
      <c r="F788" s="39"/>
    </row>
    <row r="789" spans="1:6" s="31" customFormat="1" x14ac:dyDescent="0.4">
      <c r="A789" s="38"/>
      <c r="E789" s="39"/>
      <c r="F789" s="39"/>
    </row>
    <row r="790" spans="1:6" s="31" customFormat="1" x14ac:dyDescent="0.4">
      <c r="A790" s="38"/>
      <c r="D790" s="39"/>
      <c r="F790" s="39"/>
    </row>
    <row r="791" spans="1:6" s="31" customFormat="1" x14ac:dyDescent="0.4">
      <c r="A791" s="38"/>
      <c r="F791" s="39"/>
    </row>
    <row r="792" spans="1:6" s="31" customFormat="1" x14ac:dyDescent="0.4">
      <c r="A792" s="38"/>
      <c r="D792" s="39"/>
      <c r="F792" s="39"/>
    </row>
    <row r="793" spans="1:6" s="31" customFormat="1" x14ac:dyDescent="0.4">
      <c r="A793" s="38"/>
      <c r="D793" s="39"/>
      <c r="F793" s="39"/>
    </row>
    <row r="794" spans="1:6" s="31" customFormat="1" x14ac:dyDescent="0.4">
      <c r="A794" s="38"/>
      <c r="D794" s="39"/>
      <c r="F794" s="39"/>
    </row>
    <row r="795" spans="1:6" s="31" customFormat="1" x14ac:dyDescent="0.4">
      <c r="A795" s="38"/>
      <c r="D795" s="39"/>
      <c r="F795" s="39"/>
    </row>
    <row r="796" spans="1:6" s="31" customFormat="1" x14ac:dyDescent="0.4">
      <c r="A796" s="38"/>
      <c r="D796" s="39"/>
      <c r="F796" s="39"/>
    </row>
    <row r="797" spans="1:6" s="31" customFormat="1" x14ac:dyDescent="0.4">
      <c r="A797" s="38"/>
      <c r="D797" s="39"/>
      <c r="F797" s="39"/>
    </row>
    <row r="798" spans="1:6" s="31" customFormat="1" x14ac:dyDescent="0.4">
      <c r="A798" s="38"/>
      <c r="D798" s="39"/>
      <c r="F798" s="39"/>
    </row>
    <row r="799" spans="1:6" s="31" customFormat="1" x14ac:dyDescent="0.4">
      <c r="A799" s="38"/>
      <c r="D799" s="39"/>
      <c r="F799" s="39"/>
    </row>
    <row r="800" spans="1:6" s="31" customFormat="1" x14ac:dyDescent="0.4">
      <c r="A800" s="38"/>
      <c r="E800" s="39"/>
      <c r="F800" s="39"/>
    </row>
    <row r="801" spans="1:6" s="31" customFormat="1" x14ac:dyDescent="0.4">
      <c r="A801" s="38"/>
      <c r="D801" s="39"/>
      <c r="F801" s="39"/>
    </row>
    <row r="802" spans="1:6" s="31" customFormat="1" x14ac:dyDescent="0.4">
      <c r="A802" s="38"/>
      <c r="F802" s="39"/>
    </row>
    <row r="803" spans="1:6" s="31" customFormat="1" x14ac:dyDescent="0.4">
      <c r="A803" s="38"/>
      <c r="D803" s="39"/>
      <c r="F803" s="39"/>
    </row>
    <row r="804" spans="1:6" s="31" customFormat="1" x14ac:dyDescent="0.4">
      <c r="A804" s="38"/>
      <c r="D804" s="39"/>
      <c r="F804" s="39"/>
    </row>
    <row r="805" spans="1:6" s="31" customFormat="1" x14ac:dyDescent="0.4">
      <c r="A805" s="38"/>
      <c r="D805" s="39"/>
      <c r="F805" s="39"/>
    </row>
    <row r="806" spans="1:6" s="31" customFormat="1" x14ac:dyDescent="0.4">
      <c r="A806" s="38"/>
      <c r="D806" s="39"/>
      <c r="F806" s="39"/>
    </row>
    <row r="807" spans="1:6" s="31" customFormat="1" x14ac:dyDescent="0.4">
      <c r="A807" s="38"/>
      <c r="D807" s="39"/>
      <c r="F807" s="39"/>
    </row>
    <row r="808" spans="1:6" s="31" customFormat="1" x14ac:dyDescent="0.4">
      <c r="A808" s="38"/>
      <c r="D808" s="39"/>
      <c r="F808" s="39"/>
    </row>
    <row r="809" spans="1:6" s="31" customFormat="1" x14ac:dyDescent="0.4">
      <c r="A809" s="38"/>
      <c r="D809" s="39"/>
      <c r="F809" s="39"/>
    </row>
    <row r="810" spans="1:6" s="31" customFormat="1" x14ac:dyDescent="0.4">
      <c r="A810" s="38"/>
      <c r="E810" s="39"/>
      <c r="F810" s="39"/>
    </row>
    <row r="811" spans="1:6" s="31" customFormat="1" x14ac:dyDescent="0.4">
      <c r="A811" s="38"/>
      <c r="D811" s="39"/>
      <c r="F811" s="39"/>
    </row>
    <row r="812" spans="1:6" s="31" customFormat="1" x14ac:dyDescent="0.4">
      <c r="A812" s="38"/>
      <c r="F812" s="39"/>
    </row>
    <row r="813" spans="1:6" s="31" customFormat="1" x14ac:dyDescent="0.4">
      <c r="A813" s="38"/>
      <c r="D813" s="39"/>
      <c r="F813" s="39"/>
    </row>
    <row r="814" spans="1:6" s="31" customFormat="1" x14ac:dyDescent="0.4">
      <c r="A814" s="38"/>
      <c r="D814" s="39"/>
      <c r="F814" s="39"/>
    </row>
    <row r="815" spans="1:6" s="31" customFormat="1" x14ac:dyDescent="0.4">
      <c r="A815" s="38"/>
      <c r="D815" s="39"/>
      <c r="F815" s="39"/>
    </row>
    <row r="816" spans="1:6" s="31" customFormat="1" x14ac:dyDescent="0.4">
      <c r="A816" s="38"/>
      <c r="D816" s="39"/>
      <c r="F816" s="39"/>
    </row>
    <row r="817" spans="1:6" s="31" customFormat="1" x14ac:dyDescent="0.4">
      <c r="A817" s="38"/>
      <c r="D817" s="39"/>
      <c r="F817" s="39"/>
    </row>
    <row r="818" spans="1:6" s="31" customFormat="1" x14ac:dyDescent="0.4">
      <c r="A818" s="38"/>
      <c r="D818" s="39"/>
      <c r="F818" s="39"/>
    </row>
    <row r="819" spans="1:6" s="31" customFormat="1" x14ac:dyDescent="0.4">
      <c r="A819" s="38"/>
      <c r="F819" s="39"/>
    </row>
    <row r="820" spans="1:6" s="31" customFormat="1" x14ac:dyDescent="0.4">
      <c r="A820" s="38"/>
      <c r="D820" s="39"/>
      <c r="F820" s="39"/>
    </row>
    <row r="821" spans="1:6" s="31" customFormat="1" x14ac:dyDescent="0.4">
      <c r="A821" s="38"/>
      <c r="D821" s="39"/>
      <c r="F821" s="39"/>
    </row>
    <row r="822" spans="1:6" s="31" customFormat="1" x14ac:dyDescent="0.4">
      <c r="A822" s="38"/>
      <c r="D822" s="39"/>
      <c r="F822" s="39"/>
    </row>
    <row r="823" spans="1:6" s="31" customFormat="1" x14ac:dyDescent="0.4">
      <c r="A823" s="38"/>
      <c r="E823" s="39"/>
      <c r="F823" s="39"/>
    </row>
    <row r="824" spans="1:6" s="31" customFormat="1" x14ac:dyDescent="0.4">
      <c r="A824" s="38"/>
      <c r="D824" s="39"/>
      <c r="F824" s="39"/>
    </row>
    <row r="825" spans="1:6" s="31" customFormat="1" x14ac:dyDescent="0.4">
      <c r="A825" s="38"/>
      <c r="F825" s="39"/>
    </row>
    <row r="826" spans="1:6" s="31" customFormat="1" x14ac:dyDescent="0.4">
      <c r="A826" s="38"/>
      <c r="D826" s="39"/>
      <c r="F826" s="39"/>
    </row>
    <row r="827" spans="1:6" s="31" customFormat="1" x14ac:dyDescent="0.4">
      <c r="A827" s="38"/>
      <c r="D827" s="39"/>
      <c r="F827" s="39"/>
    </row>
    <row r="828" spans="1:6" s="31" customFormat="1" x14ac:dyDescent="0.4">
      <c r="A828" s="38"/>
      <c r="D828" s="39"/>
      <c r="F828" s="39"/>
    </row>
    <row r="829" spans="1:6" s="31" customFormat="1" x14ac:dyDescent="0.4">
      <c r="A829" s="38"/>
      <c r="D829" s="39"/>
      <c r="F829" s="39"/>
    </row>
    <row r="830" spans="1:6" s="31" customFormat="1" x14ac:dyDescent="0.4">
      <c r="A830" s="38"/>
      <c r="D830" s="39"/>
      <c r="F830" s="39"/>
    </row>
    <row r="831" spans="1:6" s="31" customFormat="1" x14ac:dyDescent="0.4">
      <c r="A831" s="38"/>
      <c r="D831" s="39"/>
      <c r="F831" s="39"/>
    </row>
    <row r="832" spans="1:6" s="31" customFormat="1" x14ac:dyDescent="0.4">
      <c r="A832" s="38"/>
      <c r="D832" s="39"/>
      <c r="F832" s="39"/>
    </row>
    <row r="833" spans="1:6" s="31" customFormat="1" x14ac:dyDescent="0.4">
      <c r="A833" s="38"/>
      <c r="E833" s="39"/>
      <c r="F833" s="39"/>
    </row>
    <row r="834" spans="1:6" s="31" customFormat="1" x14ac:dyDescent="0.4">
      <c r="A834" s="38"/>
      <c r="D834" s="39"/>
      <c r="F834" s="39"/>
    </row>
    <row r="835" spans="1:6" s="31" customFormat="1" x14ac:dyDescent="0.4">
      <c r="A835" s="38"/>
      <c r="F835" s="39"/>
    </row>
    <row r="836" spans="1:6" s="31" customFormat="1" x14ac:dyDescent="0.4">
      <c r="A836" s="38"/>
      <c r="D836" s="39"/>
      <c r="F836" s="39"/>
    </row>
    <row r="837" spans="1:6" s="31" customFormat="1" x14ac:dyDescent="0.4">
      <c r="A837" s="38"/>
      <c r="D837" s="39"/>
      <c r="F837" s="39"/>
    </row>
    <row r="838" spans="1:6" s="31" customFormat="1" x14ac:dyDescent="0.4">
      <c r="A838" s="38"/>
      <c r="F838" s="39"/>
    </row>
    <row r="839" spans="1:6" s="31" customFormat="1" x14ac:dyDescent="0.4">
      <c r="A839" s="38"/>
      <c r="D839" s="39"/>
      <c r="F839" s="39"/>
    </row>
    <row r="840" spans="1:6" s="31" customFormat="1" x14ac:dyDescent="0.4">
      <c r="A840" s="38"/>
      <c r="D840" s="39"/>
      <c r="F840" s="39"/>
    </row>
    <row r="841" spans="1:6" s="31" customFormat="1" x14ac:dyDescent="0.4">
      <c r="A841" s="38"/>
      <c r="D841" s="39"/>
      <c r="F841" s="39"/>
    </row>
    <row r="842" spans="1:6" s="31" customFormat="1" x14ac:dyDescent="0.4">
      <c r="A842" s="38"/>
      <c r="D842" s="39"/>
      <c r="F842" s="39"/>
    </row>
    <row r="843" spans="1:6" s="31" customFormat="1" x14ac:dyDescent="0.4">
      <c r="A843" s="38"/>
      <c r="D843" s="39"/>
      <c r="F843" s="39"/>
    </row>
    <row r="844" spans="1:6" s="31" customFormat="1" x14ac:dyDescent="0.4">
      <c r="A844" s="38"/>
      <c r="D844" s="39"/>
      <c r="F844" s="39"/>
    </row>
    <row r="845" spans="1:6" s="31" customFormat="1" x14ac:dyDescent="0.4">
      <c r="A845" s="38"/>
      <c r="E845" s="39"/>
      <c r="F845" s="39"/>
    </row>
    <row r="846" spans="1:6" s="31" customFormat="1" x14ac:dyDescent="0.4">
      <c r="A846" s="38"/>
      <c r="D846" s="39"/>
      <c r="F846" s="39"/>
    </row>
    <row r="847" spans="1:6" s="31" customFormat="1" x14ac:dyDescent="0.4">
      <c r="A847" s="38"/>
      <c r="F847" s="39"/>
    </row>
    <row r="848" spans="1:6" s="31" customFormat="1" x14ac:dyDescent="0.4">
      <c r="A848" s="38"/>
      <c r="D848" s="39"/>
      <c r="F848" s="39"/>
    </row>
    <row r="849" spans="1:6" s="31" customFormat="1" x14ac:dyDescent="0.4">
      <c r="A849" s="38"/>
      <c r="D849" s="39"/>
      <c r="F849" s="39"/>
    </row>
    <row r="850" spans="1:6" s="31" customFormat="1" x14ac:dyDescent="0.4">
      <c r="A850" s="38"/>
      <c r="D850" s="39"/>
      <c r="F850" s="39"/>
    </row>
    <row r="851" spans="1:6" s="31" customFormat="1" x14ac:dyDescent="0.4">
      <c r="A851" s="38"/>
      <c r="D851" s="39"/>
      <c r="F851" s="39"/>
    </row>
    <row r="852" spans="1:6" s="31" customFormat="1" x14ac:dyDescent="0.4">
      <c r="A852" s="38"/>
      <c r="E852" s="39"/>
      <c r="F852" s="39"/>
    </row>
    <row r="853" spans="1:6" s="31" customFormat="1" x14ac:dyDescent="0.4">
      <c r="A853" s="38"/>
      <c r="E853" s="39"/>
      <c r="F853" s="39"/>
    </row>
    <row r="854" spans="1:6" s="31" customFormat="1" x14ac:dyDescent="0.4">
      <c r="A854" s="38"/>
      <c r="D854" s="39"/>
      <c r="F854" s="39"/>
    </row>
    <row r="855" spans="1:6" s="31" customFormat="1" x14ac:dyDescent="0.4">
      <c r="A855" s="38"/>
      <c r="D855" s="39"/>
      <c r="F855" s="39"/>
    </row>
    <row r="856" spans="1:6" s="31" customFormat="1" x14ac:dyDescent="0.4">
      <c r="A856" s="38"/>
      <c r="D856" s="39"/>
      <c r="F856" s="39"/>
    </row>
    <row r="857" spans="1:6" s="31" customFormat="1" x14ac:dyDescent="0.4">
      <c r="A857" s="38"/>
      <c r="D857" s="39"/>
      <c r="F857" s="39"/>
    </row>
    <row r="858" spans="1:6" s="31" customFormat="1" x14ac:dyDescent="0.4">
      <c r="A858" s="38"/>
      <c r="E858" s="39"/>
      <c r="F858" s="39"/>
    </row>
    <row r="859" spans="1:6" s="31" customFormat="1" x14ac:dyDescent="0.4">
      <c r="A859" s="38"/>
      <c r="D859" s="39"/>
      <c r="F859" s="39"/>
    </row>
    <row r="860" spans="1:6" s="31" customFormat="1" x14ac:dyDescent="0.4">
      <c r="A860" s="38"/>
      <c r="F860" s="39"/>
    </row>
    <row r="861" spans="1:6" s="31" customFormat="1" x14ac:dyDescent="0.4">
      <c r="A861" s="38"/>
      <c r="D861" s="39"/>
      <c r="F861" s="39"/>
    </row>
    <row r="862" spans="1:6" s="31" customFormat="1" x14ac:dyDescent="0.4">
      <c r="A862" s="38"/>
      <c r="D862" s="39"/>
      <c r="F862" s="39"/>
    </row>
    <row r="863" spans="1:6" s="31" customFormat="1" x14ac:dyDescent="0.4">
      <c r="A863" s="38"/>
      <c r="D863" s="39"/>
      <c r="F863" s="39"/>
    </row>
    <row r="864" spans="1:6" s="31" customFormat="1" x14ac:dyDescent="0.4">
      <c r="A864" s="38"/>
      <c r="D864" s="39"/>
      <c r="F864" s="39"/>
    </row>
    <row r="865" spans="1:6" s="31" customFormat="1" x14ac:dyDescent="0.4">
      <c r="A865" s="38"/>
      <c r="D865" s="39"/>
      <c r="F865" s="39"/>
    </row>
    <row r="866" spans="1:6" s="31" customFormat="1" x14ac:dyDescent="0.4">
      <c r="A866" s="38"/>
      <c r="D866" s="39"/>
      <c r="F866" s="39"/>
    </row>
    <row r="867" spans="1:6" s="31" customFormat="1" x14ac:dyDescent="0.4">
      <c r="A867" s="38"/>
      <c r="D867" s="39"/>
      <c r="F867" s="39"/>
    </row>
    <row r="868" spans="1:6" s="31" customFormat="1" x14ac:dyDescent="0.4">
      <c r="A868" s="38"/>
      <c r="E868" s="39"/>
      <c r="F868" s="39"/>
    </row>
    <row r="869" spans="1:6" s="31" customFormat="1" x14ac:dyDescent="0.4">
      <c r="A869" s="38"/>
      <c r="D869" s="39"/>
      <c r="F869" s="39"/>
    </row>
    <row r="870" spans="1:6" s="31" customFormat="1" x14ac:dyDescent="0.4">
      <c r="A870" s="38"/>
      <c r="F870" s="39"/>
    </row>
    <row r="871" spans="1:6" s="31" customFormat="1" x14ac:dyDescent="0.4">
      <c r="A871" s="38"/>
      <c r="D871" s="39"/>
      <c r="F871" s="39"/>
    </row>
    <row r="872" spans="1:6" s="31" customFormat="1" x14ac:dyDescent="0.4">
      <c r="A872" s="38"/>
      <c r="D872" s="39"/>
      <c r="F872" s="39"/>
    </row>
    <row r="873" spans="1:6" s="31" customFormat="1" x14ac:dyDescent="0.4">
      <c r="A873" s="38"/>
      <c r="D873" s="39"/>
      <c r="F873" s="39"/>
    </row>
    <row r="874" spans="1:6" s="31" customFormat="1" x14ac:dyDescent="0.4">
      <c r="A874" s="38"/>
      <c r="D874" s="39"/>
      <c r="F874" s="39"/>
    </row>
    <row r="875" spans="1:6" s="31" customFormat="1" x14ac:dyDescent="0.4">
      <c r="A875" s="38"/>
      <c r="D875" s="39"/>
      <c r="F875" s="39"/>
    </row>
    <row r="876" spans="1:6" s="31" customFormat="1" x14ac:dyDescent="0.4">
      <c r="A876" s="38"/>
      <c r="D876" s="39"/>
      <c r="F876" s="39"/>
    </row>
    <row r="877" spans="1:6" s="31" customFormat="1" x14ac:dyDescent="0.4">
      <c r="A877" s="38"/>
      <c r="D877" s="39"/>
      <c r="F877" s="39"/>
    </row>
    <row r="878" spans="1:6" s="31" customFormat="1" x14ac:dyDescent="0.4">
      <c r="A878" s="38"/>
      <c r="E878" s="39"/>
      <c r="F878" s="39"/>
    </row>
    <row r="879" spans="1:6" s="31" customFormat="1" x14ac:dyDescent="0.4">
      <c r="A879" s="38"/>
      <c r="D879" s="39"/>
      <c r="F879" s="39"/>
    </row>
    <row r="880" spans="1:6" s="31" customFormat="1" x14ac:dyDescent="0.4">
      <c r="A880" s="38"/>
      <c r="F880" s="39"/>
    </row>
    <row r="881" spans="1:6" s="31" customFormat="1" x14ac:dyDescent="0.4">
      <c r="A881" s="38"/>
      <c r="D881" s="39"/>
      <c r="F881" s="39"/>
    </row>
    <row r="882" spans="1:6" s="31" customFormat="1" x14ac:dyDescent="0.4">
      <c r="A882" s="38"/>
      <c r="D882" s="39"/>
      <c r="F882" s="39"/>
    </row>
    <row r="883" spans="1:6" s="31" customFormat="1" x14ac:dyDescent="0.4">
      <c r="A883" s="38"/>
      <c r="D883" s="39"/>
      <c r="F883" s="39"/>
    </row>
    <row r="884" spans="1:6" s="31" customFormat="1" x14ac:dyDescent="0.4">
      <c r="A884" s="38"/>
      <c r="D884" s="39"/>
      <c r="F884" s="39"/>
    </row>
    <row r="885" spans="1:6" s="31" customFormat="1" x14ac:dyDescent="0.4">
      <c r="A885" s="38"/>
      <c r="E885" s="39"/>
      <c r="F885" s="39"/>
    </row>
    <row r="886" spans="1:6" s="31" customFormat="1" x14ac:dyDescent="0.4">
      <c r="A886" s="38"/>
      <c r="F886" s="39"/>
    </row>
    <row r="887" spans="1:6" s="31" customFormat="1" x14ac:dyDescent="0.4">
      <c r="A887" s="38"/>
      <c r="D887" s="39"/>
      <c r="F887" s="39"/>
    </row>
    <row r="888" spans="1:6" s="31" customFormat="1" x14ac:dyDescent="0.4">
      <c r="A888" s="38"/>
      <c r="D888" s="39"/>
      <c r="F888" s="39"/>
    </row>
    <row r="889" spans="1:6" s="31" customFormat="1" x14ac:dyDescent="0.4">
      <c r="A889" s="38"/>
      <c r="D889" s="39"/>
      <c r="F889" s="39"/>
    </row>
    <row r="890" spans="1:6" s="31" customFormat="1" x14ac:dyDescent="0.4">
      <c r="A890" s="38"/>
      <c r="D890" s="39"/>
      <c r="F890" s="39"/>
    </row>
    <row r="891" spans="1:6" s="31" customFormat="1" x14ac:dyDescent="0.4">
      <c r="A891" s="38"/>
      <c r="F891" s="39"/>
    </row>
    <row r="892" spans="1:6" s="31" customFormat="1" x14ac:dyDescent="0.4">
      <c r="A892" s="38"/>
      <c r="E892" s="39"/>
      <c r="F892" s="39"/>
    </row>
    <row r="893" spans="1:6" s="31" customFormat="1" x14ac:dyDescent="0.4">
      <c r="A893" s="38"/>
      <c r="D893" s="39"/>
      <c r="F893" s="39"/>
    </row>
    <row r="894" spans="1:6" s="31" customFormat="1" x14ac:dyDescent="0.4">
      <c r="A894" s="38"/>
      <c r="F894" s="39"/>
    </row>
    <row r="895" spans="1:6" s="31" customFormat="1" x14ac:dyDescent="0.4">
      <c r="A895" s="38"/>
      <c r="D895" s="39"/>
      <c r="F895" s="39"/>
    </row>
    <row r="896" spans="1:6" s="31" customFormat="1" x14ac:dyDescent="0.4">
      <c r="A896" s="38"/>
      <c r="D896" s="39"/>
      <c r="F896" s="39"/>
    </row>
    <row r="897" spans="1:6" s="31" customFormat="1" x14ac:dyDescent="0.4">
      <c r="A897" s="38"/>
      <c r="D897" s="39"/>
      <c r="F897" s="39"/>
    </row>
    <row r="898" spans="1:6" s="31" customFormat="1" x14ac:dyDescent="0.4">
      <c r="A898" s="38"/>
      <c r="D898" s="39"/>
      <c r="F898" s="39"/>
    </row>
    <row r="899" spans="1:6" s="31" customFormat="1" x14ac:dyDescent="0.4">
      <c r="A899" s="38"/>
      <c r="D899" s="39"/>
      <c r="F899" s="39"/>
    </row>
    <row r="900" spans="1:6" s="31" customFormat="1" x14ac:dyDescent="0.4">
      <c r="A900" s="38"/>
      <c r="D900" s="39"/>
      <c r="F900" s="39"/>
    </row>
    <row r="901" spans="1:6" s="31" customFormat="1" x14ac:dyDescent="0.4">
      <c r="A901" s="38"/>
      <c r="D901" s="39"/>
      <c r="F901" s="39"/>
    </row>
    <row r="902" spans="1:6" s="31" customFormat="1" x14ac:dyDescent="0.4">
      <c r="A902" s="38"/>
      <c r="D902" s="39"/>
      <c r="F902" s="39"/>
    </row>
    <row r="903" spans="1:6" s="31" customFormat="1" x14ac:dyDescent="0.4">
      <c r="A903" s="38"/>
      <c r="E903" s="39"/>
      <c r="F903" s="39"/>
    </row>
    <row r="904" spans="1:6" s="31" customFormat="1" x14ac:dyDescent="0.4">
      <c r="A904" s="38"/>
      <c r="D904" s="39"/>
      <c r="F904" s="39"/>
    </row>
    <row r="905" spans="1:6" s="31" customFormat="1" x14ac:dyDescent="0.4">
      <c r="A905" s="38"/>
      <c r="F905" s="39"/>
    </row>
    <row r="906" spans="1:6" s="31" customFormat="1" x14ac:dyDescent="0.4">
      <c r="A906" s="38"/>
      <c r="D906" s="39"/>
      <c r="F906" s="39"/>
    </row>
    <row r="907" spans="1:6" s="31" customFormat="1" x14ac:dyDescent="0.4">
      <c r="A907" s="38"/>
      <c r="D907" s="39"/>
      <c r="F907" s="39"/>
    </row>
    <row r="908" spans="1:6" s="31" customFormat="1" x14ac:dyDescent="0.4">
      <c r="A908" s="38"/>
      <c r="D908" s="39"/>
      <c r="F908" s="39"/>
    </row>
    <row r="909" spans="1:6" s="31" customFormat="1" x14ac:dyDescent="0.4">
      <c r="A909" s="38"/>
      <c r="D909" s="39"/>
      <c r="F909" s="39"/>
    </row>
    <row r="910" spans="1:6" s="31" customFormat="1" x14ac:dyDescent="0.4">
      <c r="A910" s="38"/>
      <c r="D910" s="39"/>
      <c r="F910" s="39"/>
    </row>
    <row r="911" spans="1:6" s="31" customFormat="1" x14ac:dyDescent="0.4">
      <c r="A911" s="38"/>
      <c r="D911" s="39"/>
      <c r="F911" s="39"/>
    </row>
    <row r="912" spans="1:6" s="31" customFormat="1" x14ac:dyDescent="0.4">
      <c r="A912" s="38"/>
      <c r="D912" s="39"/>
      <c r="F912" s="39"/>
    </row>
    <row r="913" spans="1:6" s="31" customFormat="1" x14ac:dyDescent="0.4">
      <c r="A913" s="38"/>
      <c r="D913" s="39"/>
      <c r="F913" s="39"/>
    </row>
    <row r="914" spans="1:6" s="31" customFormat="1" x14ac:dyDescent="0.4">
      <c r="A914" s="38"/>
      <c r="E914" s="39"/>
      <c r="F914" s="39"/>
    </row>
    <row r="915" spans="1:6" s="31" customFormat="1" x14ac:dyDescent="0.4">
      <c r="A915" s="38"/>
      <c r="D915" s="39"/>
      <c r="F915" s="39"/>
    </row>
    <row r="916" spans="1:6" s="31" customFormat="1" x14ac:dyDescent="0.4">
      <c r="A916" s="38"/>
      <c r="F916" s="39"/>
    </row>
    <row r="917" spans="1:6" s="31" customFormat="1" x14ac:dyDescent="0.4">
      <c r="A917" s="38"/>
      <c r="D917" s="39"/>
      <c r="F917" s="39"/>
    </row>
    <row r="918" spans="1:6" s="31" customFormat="1" x14ac:dyDescent="0.4">
      <c r="A918" s="38"/>
      <c r="D918" s="39"/>
      <c r="F918" s="39"/>
    </row>
    <row r="919" spans="1:6" s="31" customFormat="1" x14ac:dyDescent="0.4">
      <c r="A919" s="38"/>
      <c r="D919" s="39"/>
      <c r="F919" s="39"/>
    </row>
    <row r="920" spans="1:6" s="31" customFormat="1" x14ac:dyDescent="0.4">
      <c r="A920" s="38"/>
      <c r="D920" s="39"/>
      <c r="F920" s="39"/>
    </row>
    <row r="921" spans="1:6" s="31" customFormat="1" x14ac:dyDescent="0.4">
      <c r="A921" s="38"/>
      <c r="D921" s="39"/>
      <c r="F921" s="39"/>
    </row>
    <row r="922" spans="1:6" s="31" customFormat="1" x14ac:dyDescent="0.4">
      <c r="A922" s="38"/>
      <c r="D922" s="39"/>
      <c r="F922" s="39"/>
    </row>
    <row r="923" spans="1:6" s="31" customFormat="1" x14ac:dyDescent="0.4">
      <c r="A923" s="38"/>
      <c r="D923" s="39"/>
      <c r="F923" s="39"/>
    </row>
    <row r="924" spans="1:6" s="31" customFormat="1" x14ac:dyDescent="0.4">
      <c r="A924" s="38"/>
      <c r="E924" s="39"/>
      <c r="F924" s="39"/>
    </row>
    <row r="925" spans="1:6" s="31" customFormat="1" x14ac:dyDescent="0.4">
      <c r="A925" s="38"/>
      <c r="D925" s="39"/>
      <c r="F925" s="39"/>
    </row>
    <row r="926" spans="1:6" s="31" customFormat="1" x14ac:dyDescent="0.4">
      <c r="A926" s="38"/>
      <c r="F926" s="39"/>
    </row>
    <row r="927" spans="1:6" s="31" customFormat="1" x14ac:dyDescent="0.4">
      <c r="A927" s="38"/>
      <c r="D927" s="39"/>
      <c r="F927" s="39"/>
    </row>
    <row r="928" spans="1:6" s="31" customFormat="1" x14ac:dyDescent="0.4">
      <c r="A928" s="38"/>
      <c r="D928" s="39"/>
      <c r="F928" s="39"/>
    </row>
    <row r="929" spans="1:6" s="31" customFormat="1" x14ac:dyDescent="0.4">
      <c r="A929" s="38"/>
      <c r="D929" s="39"/>
      <c r="F929" s="39"/>
    </row>
    <row r="930" spans="1:6" s="31" customFormat="1" x14ac:dyDescent="0.4">
      <c r="A930" s="38"/>
      <c r="D930" s="39"/>
      <c r="F930" s="39"/>
    </row>
    <row r="931" spans="1:6" s="31" customFormat="1" x14ac:dyDescent="0.4">
      <c r="A931" s="38"/>
      <c r="D931" s="39"/>
      <c r="F931" s="39"/>
    </row>
    <row r="932" spans="1:6" s="31" customFormat="1" x14ac:dyDescent="0.4">
      <c r="A932" s="38"/>
      <c r="D932" s="39"/>
      <c r="F932" s="39"/>
    </row>
    <row r="933" spans="1:6" s="31" customFormat="1" x14ac:dyDescent="0.4">
      <c r="A933" s="38"/>
      <c r="F933" s="39"/>
    </row>
    <row r="934" spans="1:6" s="31" customFormat="1" x14ac:dyDescent="0.4">
      <c r="A934" s="38"/>
      <c r="D934" s="39"/>
      <c r="F934" s="39"/>
    </row>
    <row r="935" spans="1:6" s="31" customFormat="1" x14ac:dyDescent="0.4">
      <c r="A935" s="38"/>
      <c r="D935" s="39"/>
      <c r="F935" s="39"/>
    </row>
    <row r="936" spans="1:6" s="31" customFormat="1" x14ac:dyDescent="0.4">
      <c r="A936" s="38"/>
      <c r="D936" s="39"/>
      <c r="F936" s="39"/>
    </row>
    <row r="937" spans="1:6" s="31" customFormat="1" x14ac:dyDescent="0.4">
      <c r="A937" s="38"/>
      <c r="E937" s="39"/>
      <c r="F937" s="39"/>
    </row>
    <row r="938" spans="1:6" s="31" customFormat="1" x14ac:dyDescent="0.4">
      <c r="A938" s="38"/>
      <c r="D938" s="39"/>
      <c r="F938" s="39"/>
    </row>
    <row r="939" spans="1:6" s="31" customFormat="1" x14ac:dyDescent="0.4">
      <c r="A939" s="38"/>
      <c r="F939" s="39"/>
    </row>
    <row r="940" spans="1:6" s="31" customFormat="1" x14ac:dyDescent="0.4">
      <c r="A940" s="38"/>
      <c r="D940" s="39"/>
      <c r="F940" s="39"/>
    </row>
    <row r="941" spans="1:6" s="31" customFormat="1" x14ac:dyDescent="0.4">
      <c r="A941" s="38"/>
      <c r="D941" s="39"/>
      <c r="F941" s="39"/>
    </row>
    <row r="942" spans="1:6" s="31" customFormat="1" x14ac:dyDescent="0.4">
      <c r="A942" s="38"/>
      <c r="D942" s="39"/>
      <c r="F942" s="39"/>
    </row>
    <row r="943" spans="1:6" s="31" customFormat="1" x14ac:dyDescent="0.4">
      <c r="A943" s="38"/>
      <c r="D943" s="39"/>
      <c r="F943" s="39"/>
    </row>
    <row r="944" spans="1:6" s="31" customFormat="1" x14ac:dyDescent="0.4">
      <c r="A944" s="38"/>
      <c r="D944" s="39"/>
      <c r="F944" s="39"/>
    </row>
    <row r="945" spans="1:6" s="31" customFormat="1" x14ac:dyDescent="0.4">
      <c r="A945" s="38"/>
      <c r="D945" s="39"/>
      <c r="F945" s="39"/>
    </row>
    <row r="946" spans="1:6" s="31" customFormat="1" x14ac:dyDescent="0.4">
      <c r="A946" s="38"/>
      <c r="D946" s="39"/>
      <c r="F946" s="39"/>
    </row>
    <row r="947" spans="1:6" s="31" customFormat="1" x14ac:dyDescent="0.4">
      <c r="A947" s="38"/>
      <c r="E947" s="39"/>
      <c r="F947" s="39"/>
    </row>
    <row r="948" spans="1:6" s="31" customFormat="1" x14ac:dyDescent="0.4">
      <c r="A948" s="38"/>
      <c r="D948" s="39"/>
      <c r="F948" s="39"/>
    </row>
    <row r="949" spans="1:6" s="31" customFormat="1" x14ac:dyDescent="0.4">
      <c r="A949" s="38"/>
      <c r="F949" s="39"/>
    </row>
    <row r="950" spans="1:6" s="31" customFormat="1" x14ac:dyDescent="0.4">
      <c r="A950" s="38"/>
      <c r="D950" s="39"/>
      <c r="F950" s="39"/>
    </row>
    <row r="951" spans="1:6" s="31" customFormat="1" x14ac:dyDescent="0.4">
      <c r="A951" s="38"/>
      <c r="D951" s="39"/>
      <c r="F951" s="39"/>
    </row>
    <row r="952" spans="1:6" s="31" customFormat="1" x14ac:dyDescent="0.4">
      <c r="A952" s="38"/>
      <c r="F952" s="39"/>
    </row>
    <row r="953" spans="1:6" s="31" customFormat="1" x14ac:dyDescent="0.4">
      <c r="A953" s="38"/>
      <c r="D953" s="39"/>
      <c r="F953" s="39"/>
    </row>
    <row r="954" spans="1:6" s="31" customFormat="1" x14ac:dyDescent="0.4">
      <c r="A954" s="38"/>
      <c r="D954" s="39"/>
      <c r="F954" s="39"/>
    </row>
    <row r="955" spans="1:6" s="31" customFormat="1" x14ac:dyDescent="0.4">
      <c r="A955" s="38"/>
      <c r="D955" s="39"/>
      <c r="F955" s="39"/>
    </row>
    <row r="956" spans="1:6" s="31" customFormat="1" x14ac:dyDescent="0.4">
      <c r="A956" s="38"/>
      <c r="D956" s="39"/>
      <c r="F956" s="39"/>
    </row>
    <row r="957" spans="1:6" s="31" customFormat="1" x14ac:dyDescent="0.4">
      <c r="A957" s="38"/>
      <c r="D957" s="39"/>
      <c r="F957" s="39"/>
    </row>
    <row r="958" spans="1:6" s="31" customFormat="1" x14ac:dyDescent="0.4">
      <c r="A958" s="38"/>
      <c r="D958" s="39"/>
      <c r="F958" s="39"/>
    </row>
    <row r="959" spans="1:6" s="31" customFormat="1" x14ac:dyDescent="0.4">
      <c r="A959" s="38"/>
      <c r="E959" s="39"/>
      <c r="F959" s="39"/>
    </row>
    <row r="960" spans="1:6" s="31" customFormat="1" x14ac:dyDescent="0.4">
      <c r="A960" s="38"/>
      <c r="D960" s="39"/>
      <c r="F960" s="39"/>
    </row>
    <row r="961" spans="1:6" s="31" customFormat="1" x14ac:dyDescent="0.4">
      <c r="A961" s="38"/>
      <c r="F961" s="39"/>
    </row>
    <row r="962" spans="1:6" s="31" customFormat="1" x14ac:dyDescent="0.4">
      <c r="A962" s="38"/>
      <c r="D962" s="39"/>
      <c r="F962" s="39"/>
    </row>
    <row r="963" spans="1:6" s="31" customFormat="1" x14ac:dyDescent="0.4">
      <c r="A963" s="38"/>
      <c r="D963" s="39"/>
      <c r="F963" s="39"/>
    </row>
    <row r="964" spans="1:6" s="31" customFormat="1" x14ac:dyDescent="0.4">
      <c r="A964" s="38"/>
      <c r="D964" s="39"/>
      <c r="F964" s="39"/>
    </row>
    <row r="965" spans="1:6" s="31" customFormat="1" x14ac:dyDescent="0.4">
      <c r="A965" s="38"/>
      <c r="D965" s="39"/>
      <c r="F965" s="39"/>
    </row>
    <row r="966" spans="1:6" s="31" customFormat="1" x14ac:dyDescent="0.4">
      <c r="A966" s="38"/>
      <c r="E966" s="39"/>
      <c r="F966" s="39"/>
    </row>
    <row r="967" spans="1:6" s="31" customFormat="1" x14ac:dyDescent="0.4">
      <c r="A967" s="38"/>
      <c r="E967" s="39"/>
      <c r="F967" s="39"/>
    </row>
    <row r="968" spans="1:6" s="31" customFormat="1" x14ac:dyDescent="0.4">
      <c r="A968" s="38"/>
      <c r="D968" s="39"/>
      <c r="F968" s="39"/>
    </row>
    <row r="969" spans="1:6" s="31" customFormat="1" x14ac:dyDescent="0.4">
      <c r="A969" s="38"/>
      <c r="D969" s="39"/>
      <c r="F969" s="39"/>
    </row>
    <row r="970" spans="1:6" s="31" customFormat="1" x14ac:dyDescent="0.4">
      <c r="A970" s="38"/>
      <c r="D970" s="39"/>
      <c r="F970" s="39"/>
    </row>
    <row r="971" spans="1:6" s="31" customFormat="1" x14ac:dyDescent="0.4">
      <c r="A971" s="38"/>
      <c r="D971" s="39"/>
      <c r="F971" s="39"/>
    </row>
    <row r="972" spans="1:6" s="31" customFormat="1" x14ac:dyDescent="0.4">
      <c r="A972" s="38"/>
      <c r="E972" s="39"/>
      <c r="F972" s="39"/>
    </row>
    <row r="973" spans="1:6" s="31" customFormat="1" x14ac:dyDescent="0.4">
      <c r="A973" s="38"/>
      <c r="D973" s="39"/>
      <c r="F973" s="39"/>
    </row>
    <row r="974" spans="1:6" s="31" customFormat="1" x14ac:dyDescent="0.4">
      <c r="A974" s="38"/>
      <c r="F974" s="39"/>
    </row>
    <row r="975" spans="1:6" s="31" customFormat="1" x14ac:dyDescent="0.4">
      <c r="A975" s="38"/>
      <c r="D975" s="39"/>
      <c r="F975" s="39"/>
    </row>
    <row r="976" spans="1:6" s="31" customFormat="1" x14ac:dyDescent="0.4">
      <c r="A976" s="38"/>
      <c r="D976" s="39"/>
      <c r="F976" s="39"/>
    </row>
    <row r="977" spans="1:6" s="31" customFormat="1" x14ac:dyDescent="0.4">
      <c r="A977" s="38"/>
      <c r="D977" s="39"/>
      <c r="F977" s="39"/>
    </row>
    <row r="978" spans="1:6" s="31" customFormat="1" x14ac:dyDescent="0.4">
      <c r="A978" s="38"/>
      <c r="D978" s="39"/>
      <c r="F978" s="39"/>
    </row>
    <row r="979" spans="1:6" s="31" customFormat="1" x14ac:dyDescent="0.4">
      <c r="A979" s="38"/>
      <c r="D979" s="39"/>
      <c r="F979" s="39"/>
    </row>
    <row r="980" spans="1:6" s="31" customFormat="1" x14ac:dyDescent="0.4">
      <c r="A980" s="38"/>
      <c r="D980" s="39"/>
      <c r="F980" s="39"/>
    </row>
    <row r="981" spans="1:6" s="31" customFormat="1" x14ac:dyDescent="0.4">
      <c r="A981" s="38"/>
      <c r="D981" s="39"/>
      <c r="F981" s="39"/>
    </row>
    <row r="982" spans="1:6" s="31" customFormat="1" x14ac:dyDescent="0.4">
      <c r="A982" s="38"/>
      <c r="E982" s="39"/>
      <c r="F982" s="39"/>
    </row>
    <row r="983" spans="1:6" s="31" customFormat="1" x14ac:dyDescent="0.4">
      <c r="A983" s="38"/>
      <c r="D983" s="39"/>
      <c r="F983" s="39"/>
    </row>
    <row r="984" spans="1:6" s="31" customFormat="1" x14ac:dyDescent="0.4">
      <c r="A984" s="38"/>
      <c r="F984" s="39"/>
    </row>
    <row r="985" spans="1:6" s="31" customFormat="1" x14ac:dyDescent="0.4">
      <c r="A985" s="38"/>
      <c r="D985" s="39"/>
      <c r="F985" s="39"/>
    </row>
    <row r="986" spans="1:6" s="31" customFormat="1" x14ac:dyDescent="0.4">
      <c r="A986" s="38"/>
      <c r="D986" s="39"/>
      <c r="F986" s="39"/>
    </row>
    <row r="987" spans="1:6" s="31" customFormat="1" x14ac:dyDescent="0.4">
      <c r="A987" s="38"/>
      <c r="D987" s="39"/>
      <c r="F987" s="39"/>
    </row>
    <row r="988" spans="1:6" s="31" customFormat="1" x14ac:dyDescent="0.4">
      <c r="A988" s="38"/>
      <c r="D988" s="39"/>
      <c r="F988" s="39"/>
    </row>
    <row r="989" spans="1:6" s="31" customFormat="1" x14ac:dyDescent="0.4">
      <c r="A989" s="38"/>
      <c r="D989" s="39"/>
      <c r="F989" s="39"/>
    </row>
    <row r="990" spans="1:6" s="31" customFormat="1" x14ac:dyDescent="0.4">
      <c r="A990" s="38"/>
      <c r="D990" s="39"/>
      <c r="F990" s="39"/>
    </row>
    <row r="991" spans="1:6" s="31" customFormat="1" x14ac:dyDescent="0.4">
      <c r="A991" s="38"/>
      <c r="D991" s="39"/>
      <c r="F991" s="39"/>
    </row>
    <row r="992" spans="1:6" s="31" customFormat="1" x14ac:dyDescent="0.4">
      <c r="A992" s="38"/>
      <c r="E992" s="39"/>
      <c r="F992" s="39"/>
    </row>
    <row r="993" spans="1:6" s="31" customFormat="1" x14ac:dyDescent="0.4">
      <c r="A993" s="38"/>
      <c r="D993" s="39"/>
      <c r="F993" s="39"/>
    </row>
    <row r="994" spans="1:6" s="31" customFormat="1" x14ac:dyDescent="0.4">
      <c r="A994" s="38"/>
      <c r="F994" s="39"/>
    </row>
    <row r="995" spans="1:6" s="31" customFormat="1" x14ac:dyDescent="0.4">
      <c r="A995" s="38"/>
      <c r="D995" s="39"/>
      <c r="F995" s="39"/>
    </row>
    <row r="996" spans="1:6" s="31" customFormat="1" x14ac:dyDescent="0.4">
      <c r="A996" s="38"/>
      <c r="D996" s="39"/>
      <c r="F996" s="39"/>
    </row>
    <row r="997" spans="1:6" s="31" customFormat="1" x14ac:dyDescent="0.4">
      <c r="A997" s="38"/>
      <c r="D997" s="39"/>
      <c r="F997" s="39"/>
    </row>
    <row r="998" spans="1:6" s="31" customFormat="1" x14ac:dyDescent="0.4">
      <c r="A998" s="38"/>
      <c r="D998" s="39"/>
      <c r="F998" s="39"/>
    </row>
    <row r="999" spans="1:6" s="31" customFormat="1" x14ac:dyDescent="0.4">
      <c r="A999" s="38"/>
      <c r="E999" s="39"/>
      <c r="F999" s="39"/>
    </row>
    <row r="1000" spans="1:6" s="31" customFormat="1" x14ac:dyDescent="0.4">
      <c r="A1000" s="38"/>
      <c r="F1000" s="39"/>
    </row>
    <row r="1001" spans="1:6" s="31" customFormat="1" x14ac:dyDescent="0.4">
      <c r="A1001" s="38"/>
      <c r="D1001" s="39"/>
      <c r="F1001" s="39"/>
    </row>
    <row r="1002" spans="1:6" s="31" customFormat="1" x14ac:dyDescent="0.4">
      <c r="A1002" s="38"/>
      <c r="D1002" s="39"/>
      <c r="F1002" s="39"/>
    </row>
    <row r="1003" spans="1:6" s="31" customFormat="1" x14ac:dyDescent="0.4">
      <c r="A1003" s="38"/>
      <c r="D1003" s="39"/>
      <c r="F1003" s="39"/>
    </row>
    <row r="1004" spans="1:6" s="31" customFormat="1" x14ac:dyDescent="0.4">
      <c r="A1004" s="38"/>
      <c r="D1004" s="39"/>
      <c r="F1004" s="39"/>
    </row>
    <row r="1005" spans="1:6" s="31" customFormat="1" x14ac:dyDescent="0.4">
      <c r="A1005" s="38"/>
      <c r="F1005" s="39"/>
    </row>
    <row r="1006" spans="1:6" s="31" customFormat="1" x14ac:dyDescent="0.4">
      <c r="A1006" s="38"/>
      <c r="E1006" s="39"/>
      <c r="F1006" s="39"/>
    </row>
    <row r="1007" spans="1:6" s="31" customFormat="1" x14ac:dyDescent="0.4">
      <c r="A1007" s="38"/>
      <c r="D1007" s="39"/>
      <c r="F1007" s="39"/>
    </row>
    <row r="1008" spans="1:6" s="31" customFormat="1" x14ac:dyDescent="0.4">
      <c r="A1008" s="38"/>
      <c r="F1008" s="39"/>
    </row>
    <row r="1009" spans="1:6" s="31" customFormat="1" x14ac:dyDescent="0.4">
      <c r="A1009" s="38"/>
      <c r="D1009" s="39"/>
      <c r="F1009" s="39"/>
    </row>
    <row r="1010" spans="1:6" s="31" customFormat="1" x14ac:dyDescent="0.4">
      <c r="A1010" s="38"/>
      <c r="D1010" s="39"/>
      <c r="F1010" s="39"/>
    </row>
    <row r="1011" spans="1:6" s="31" customFormat="1" x14ac:dyDescent="0.4">
      <c r="A1011" s="38"/>
      <c r="D1011" s="39"/>
      <c r="F1011" s="39"/>
    </row>
    <row r="1012" spans="1:6" s="31" customFormat="1" x14ac:dyDescent="0.4">
      <c r="A1012" s="38"/>
      <c r="D1012" s="39"/>
      <c r="F1012" s="39"/>
    </row>
    <row r="1013" spans="1:6" s="31" customFormat="1" x14ac:dyDescent="0.4">
      <c r="A1013" s="38"/>
      <c r="D1013" s="39"/>
      <c r="F1013" s="39"/>
    </row>
    <row r="1014" spans="1:6" s="31" customFormat="1" x14ac:dyDescent="0.4">
      <c r="A1014" s="38"/>
      <c r="D1014" s="39"/>
      <c r="F1014" s="39"/>
    </row>
    <row r="1015" spans="1:6" s="31" customFormat="1" x14ac:dyDescent="0.4">
      <c r="A1015" s="38"/>
      <c r="D1015" s="39"/>
      <c r="F1015" s="39"/>
    </row>
    <row r="1016" spans="1:6" s="31" customFormat="1" x14ac:dyDescent="0.4">
      <c r="A1016" s="38"/>
      <c r="D1016" s="39"/>
      <c r="F1016" s="39"/>
    </row>
    <row r="1017" spans="1:6" s="31" customFormat="1" x14ac:dyDescent="0.4">
      <c r="A1017" s="38"/>
      <c r="E1017" s="39"/>
      <c r="F1017" s="39"/>
    </row>
    <row r="1018" spans="1:6" s="31" customFormat="1" x14ac:dyDescent="0.4">
      <c r="A1018" s="38"/>
      <c r="D1018" s="39"/>
      <c r="F1018" s="39"/>
    </row>
    <row r="1019" spans="1:6" s="31" customFormat="1" x14ac:dyDescent="0.4">
      <c r="A1019" s="38"/>
      <c r="F1019" s="39"/>
    </row>
    <row r="1020" spans="1:6" s="31" customFormat="1" x14ac:dyDescent="0.4">
      <c r="A1020" s="38"/>
      <c r="D1020" s="39"/>
      <c r="F1020" s="39"/>
    </row>
    <row r="1021" spans="1:6" s="31" customFormat="1" x14ac:dyDescent="0.4">
      <c r="A1021" s="38"/>
      <c r="D1021" s="39"/>
      <c r="F1021" s="39"/>
    </row>
    <row r="1022" spans="1:6" s="31" customFormat="1" x14ac:dyDescent="0.4">
      <c r="A1022" s="38"/>
      <c r="D1022" s="39"/>
      <c r="F1022" s="39"/>
    </row>
    <row r="1023" spans="1:6" s="31" customFormat="1" x14ac:dyDescent="0.4">
      <c r="A1023" s="38"/>
      <c r="D1023" s="39"/>
      <c r="F1023" s="39"/>
    </row>
    <row r="1024" spans="1:6" s="31" customFormat="1" x14ac:dyDescent="0.4">
      <c r="A1024" s="38"/>
      <c r="D1024" s="39"/>
      <c r="F1024" s="39"/>
    </row>
    <row r="1025" spans="1:6" s="31" customFormat="1" x14ac:dyDescent="0.4">
      <c r="A1025" s="38"/>
      <c r="D1025" s="39"/>
      <c r="F1025" s="39"/>
    </row>
    <row r="1026" spans="1:6" s="31" customFormat="1" x14ac:dyDescent="0.4">
      <c r="A1026" s="38"/>
      <c r="D1026" s="39"/>
      <c r="F1026" s="39"/>
    </row>
    <row r="1027" spans="1:6" s="31" customFormat="1" x14ac:dyDescent="0.4">
      <c r="A1027" s="38"/>
      <c r="D1027" s="39"/>
      <c r="F1027" s="39"/>
    </row>
    <row r="1028" spans="1:6" s="31" customFormat="1" x14ac:dyDescent="0.4">
      <c r="A1028" s="38"/>
      <c r="E1028" s="39"/>
      <c r="F1028" s="39"/>
    </row>
    <row r="1029" spans="1:6" s="31" customFormat="1" x14ac:dyDescent="0.4">
      <c r="A1029" s="38"/>
      <c r="D1029" s="39"/>
      <c r="F1029" s="39"/>
    </row>
    <row r="1030" spans="1:6" s="31" customFormat="1" x14ac:dyDescent="0.4">
      <c r="A1030" s="38"/>
      <c r="F1030" s="39"/>
    </row>
    <row r="1031" spans="1:6" s="31" customFormat="1" x14ac:dyDescent="0.4">
      <c r="A1031" s="38"/>
      <c r="D1031" s="39"/>
      <c r="F1031" s="39"/>
    </row>
    <row r="1032" spans="1:6" s="31" customFormat="1" x14ac:dyDescent="0.4">
      <c r="A1032" s="38"/>
      <c r="D1032" s="39"/>
      <c r="F1032" s="39"/>
    </row>
    <row r="1033" spans="1:6" s="31" customFormat="1" x14ac:dyDescent="0.4">
      <c r="A1033" s="38"/>
      <c r="D1033" s="39"/>
      <c r="F1033" s="39"/>
    </row>
    <row r="1034" spans="1:6" s="31" customFormat="1" x14ac:dyDescent="0.4">
      <c r="A1034" s="38"/>
      <c r="D1034" s="39"/>
      <c r="F1034" s="39"/>
    </row>
    <row r="1035" spans="1:6" s="31" customFormat="1" x14ac:dyDescent="0.4">
      <c r="A1035" s="38"/>
      <c r="D1035" s="39"/>
      <c r="F1035" s="39"/>
    </row>
    <row r="1036" spans="1:6" s="31" customFormat="1" x14ac:dyDescent="0.4">
      <c r="A1036" s="38"/>
      <c r="D1036" s="39"/>
      <c r="F1036" s="39"/>
    </row>
    <row r="1037" spans="1:6" s="31" customFormat="1" x14ac:dyDescent="0.4">
      <c r="A1037" s="38"/>
      <c r="D1037" s="39"/>
      <c r="F1037" s="39"/>
    </row>
    <row r="1038" spans="1:6" s="31" customFormat="1" x14ac:dyDescent="0.4">
      <c r="A1038" s="38"/>
      <c r="E1038" s="39"/>
      <c r="F1038" s="39"/>
    </row>
    <row r="1039" spans="1:6" s="31" customFormat="1" x14ac:dyDescent="0.4">
      <c r="A1039" s="38"/>
      <c r="D1039" s="39"/>
      <c r="F1039" s="39"/>
    </row>
    <row r="1040" spans="1:6" s="31" customFormat="1" x14ac:dyDescent="0.4">
      <c r="A1040" s="38"/>
      <c r="F1040" s="39"/>
    </row>
    <row r="1041" spans="1:6" s="31" customFormat="1" x14ac:dyDescent="0.4">
      <c r="A1041" s="38"/>
      <c r="D1041" s="39"/>
      <c r="F1041" s="39"/>
    </row>
    <row r="1042" spans="1:6" s="31" customFormat="1" x14ac:dyDescent="0.4">
      <c r="A1042" s="38"/>
      <c r="D1042" s="39"/>
      <c r="F1042" s="39"/>
    </row>
    <row r="1043" spans="1:6" s="31" customFormat="1" x14ac:dyDescent="0.4">
      <c r="A1043" s="38"/>
      <c r="D1043" s="39"/>
      <c r="F1043" s="39"/>
    </row>
    <row r="1044" spans="1:6" s="31" customFormat="1" x14ac:dyDescent="0.4">
      <c r="A1044" s="38"/>
      <c r="D1044" s="39"/>
      <c r="F1044" s="39"/>
    </row>
    <row r="1045" spans="1:6" s="31" customFormat="1" x14ac:dyDescent="0.4">
      <c r="A1045" s="38"/>
      <c r="D1045" s="39"/>
      <c r="F1045" s="39"/>
    </row>
    <row r="1046" spans="1:6" s="31" customFormat="1" x14ac:dyDescent="0.4">
      <c r="A1046" s="38"/>
      <c r="D1046" s="39"/>
      <c r="F1046" s="39"/>
    </row>
    <row r="1047" spans="1:6" s="31" customFormat="1" x14ac:dyDescent="0.4">
      <c r="A1047" s="38"/>
      <c r="F1047" s="39"/>
    </row>
    <row r="1048" spans="1:6" s="31" customFormat="1" x14ac:dyDescent="0.4">
      <c r="A1048" s="38"/>
      <c r="D1048" s="39"/>
      <c r="F1048" s="39"/>
    </row>
    <row r="1049" spans="1:6" s="31" customFormat="1" x14ac:dyDescent="0.4">
      <c r="A1049" s="38"/>
      <c r="D1049" s="39"/>
      <c r="F1049" s="39"/>
    </row>
    <row r="1050" spans="1:6" s="31" customFormat="1" x14ac:dyDescent="0.4">
      <c r="A1050" s="38"/>
      <c r="D1050" s="39"/>
      <c r="F1050" s="39"/>
    </row>
    <row r="1051" spans="1:6" s="31" customFormat="1" x14ac:dyDescent="0.4">
      <c r="A1051" s="38"/>
      <c r="E1051" s="39"/>
      <c r="F1051" s="39"/>
    </row>
    <row r="1052" spans="1:6" s="31" customFormat="1" x14ac:dyDescent="0.4">
      <c r="A1052" s="38"/>
      <c r="D1052" s="39"/>
      <c r="F1052" s="39"/>
    </row>
    <row r="1053" spans="1:6" s="31" customFormat="1" x14ac:dyDescent="0.4">
      <c r="A1053" s="38"/>
      <c r="F1053" s="39"/>
    </row>
    <row r="1054" spans="1:6" s="31" customFormat="1" x14ac:dyDescent="0.4">
      <c r="A1054" s="38"/>
      <c r="D1054" s="39"/>
      <c r="F1054" s="39"/>
    </row>
    <row r="1055" spans="1:6" s="31" customFormat="1" x14ac:dyDescent="0.4">
      <c r="A1055" s="38"/>
      <c r="D1055" s="39"/>
      <c r="F1055" s="39"/>
    </row>
    <row r="1056" spans="1:6" s="31" customFormat="1" x14ac:dyDescent="0.4">
      <c r="A1056" s="38"/>
      <c r="D1056" s="39"/>
      <c r="F1056" s="39"/>
    </row>
    <row r="1057" spans="1:6" s="31" customFormat="1" x14ac:dyDescent="0.4">
      <c r="A1057" s="38"/>
      <c r="D1057" s="39"/>
      <c r="F1057" s="39"/>
    </row>
    <row r="1058" spans="1:6" s="31" customFormat="1" x14ac:dyDescent="0.4">
      <c r="A1058" s="38"/>
      <c r="D1058" s="39"/>
      <c r="F1058" s="39"/>
    </row>
    <row r="1059" spans="1:6" s="31" customFormat="1" x14ac:dyDescent="0.4">
      <c r="A1059" s="38"/>
      <c r="D1059" s="39"/>
      <c r="F1059" s="39"/>
    </row>
    <row r="1060" spans="1:6" s="31" customFormat="1" x14ac:dyDescent="0.4">
      <c r="A1060" s="38"/>
      <c r="D1060" s="39"/>
      <c r="F1060" s="39"/>
    </row>
    <row r="1061" spans="1:6" s="31" customFormat="1" x14ac:dyDescent="0.4">
      <c r="A1061" s="38"/>
      <c r="E1061" s="39"/>
      <c r="F1061" s="39"/>
    </row>
    <row r="1062" spans="1:6" s="31" customFormat="1" x14ac:dyDescent="0.4">
      <c r="A1062" s="38"/>
      <c r="D1062" s="39"/>
      <c r="F1062" s="39"/>
    </row>
    <row r="1063" spans="1:6" s="31" customFormat="1" x14ac:dyDescent="0.4">
      <c r="A1063" s="38"/>
      <c r="F1063" s="39"/>
    </row>
    <row r="1064" spans="1:6" s="31" customFormat="1" x14ac:dyDescent="0.4">
      <c r="A1064" s="38"/>
      <c r="D1064" s="39"/>
      <c r="F1064" s="39"/>
    </row>
    <row r="1065" spans="1:6" s="31" customFormat="1" x14ac:dyDescent="0.4">
      <c r="A1065" s="38"/>
      <c r="D1065" s="39"/>
      <c r="F1065" s="39"/>
    </row>
    <row r="1066" spans="1:6" s="31" customFormat="1" x14ac:dyDescent="0.4">
      <c r="A1066" s="38"/>
      <c r="F1066" s="39"/>
    </row>
    <row r="1067" spans="1:6" s="31" customFormat="1" x14ac:dyDescent="0.4">
      <c r="A1067" s="38"/>
      <c r="D1067" s="39"/>
      <c r="F1067" s="39"/>
    </row>
    <row r="1068" spans="1:6" s="31" customFormat="1" x14ac:dyDescent="0.4">
      <c r="A1068" s="38"/>
      <c r="D1068" s="39"/>
      <c r="F1068" s="39"/>
    </row>
    <row r="1069" spans="1:6" s="31" customFormat="1" x14ac:dyDescent="0.4">
      <c r="A1069" s="38"/>
      <c r="D1069" s="39"/>
      <c r="F1069" s="39"/>
    </row>
    <row r="1070" spans="1:6" s="31" customFormat="1" x14ac:dyDescent="0.4">
      <c r="A1070" s="38"/>
      <c r="D1070" s="39"/>
      <c r="F1070" s="39"/>
    </row>
    <row r="1071" spans="1:6" s="31" customFormat="1" x14ac:dyDescent="0.4">
      <c r="A1071" s="38"/>
      <c r="D1071" s="39"/>
      <c r="F1071" s="39"/>
    </row>
    <row r="1072" spans="1:6" s="31" customFormat="1" x14ac:dyDescent="0.4">
      <c r="A1072" s="38"/>
      <c r="D1072" s="39"/>
      <c r="F1072" s="39"/>
    </row>
    <row r="1073" spans="1:6" s="31" customFormat="1" x14ac:dyDescent="0.4">
      <c r="A1073" s="38"/>
      <c r="E1073" s="39"/>
      <c r="F1073" s="39"/>
    </row>
    <row r="1074" spans="1:6" s="31" customFormat="1" x14ac:dyDescent="0.4">
      <c r="A1074" s="38"/>
      <c r="D1074" s="39"/>
      <c r="F1074" s="39"/>
    </row>
    <row r="1075" spans="1:6" s="31" customFormat="1" x14ac:dyDescent="0.4">
      <c r="A1075" s="38"/>
      <c r="F1075" s="39"/>
    </row>
    <row r="1076" spans="1:6" s="31" customFormat="1" x14ac:dyDescent="0.4">
      <c r="A1076" s="38"/>
      <c r="D1076" s="39"/>
      <c r="F1076" s="39"/>
    </row>
    <row r="1077" spans="1:6" s="31" customFormat="1" x14ac:dyDescent="0.4">
      <c r="A1077" s="38"/>
      <c r="D1077" s="39"/>
      <c r="F1077" s="39"/>
    </row>
    <row r="1078" spans="1:6" s="31" customFormat="1" x14ac:dyDescent="0.4">
      <c r="A1078" s="38"/>
      <c r="D1078" s="39"/>
      <c r="F1078" s="39"/>
    </row>
    <row r="1079" spans="1:6" s="31" customFormat="1" x14ac:dyDescent="0.4">
      <c r="A1079" s="38"/>
      <c r="D1079" s="39"/>
      <c r="F1079" s="39"/>
    </row>
    <row r="1080" spans="1:6" s="31" customFormat="1" x14ac:dyDescent="0.4">
      <c r="A1080" s="38"/>
      <c r="E1080" s="39"/>
      <c r="F1080" s="39"/>
    </row>
    <row r="1081" spans="1:6" s="31" customFormat="1" x14ac:dyDescent="0.4">
      <c r="A1081" s="38"/>
      <c r="E1081" s="39"/>
      <c r="F1081" s="39"/>
    </row>
    <row r="1082" spans="1:6" s="31" customFormat="1" x14ac:dyDescent="0.4">
      <c r="A1082" s="38"/>
      <c r="D1082" s="39"/>
      <c r="F1082" s="39"/>
    </row>
    <row r="1083" spans="1:6" s="31" customFormat="1" x14ac:dyDescent="0.4">
      <c r="A1083" s="38"/>
      <c r="D1083" s="39"/>
      <c r="F1083" s="39"/>
    </row>
    <row r="1084" spans="1:6" s="31" customFormat="1" x14ac:dyDescent="0.4">
      <c r="A1084" s="38"/>
      <c r="D1084" s="39"/>
      <c r="F1084" s="39"/>
    </row>
    <row r="1085" spans="1:6" s="31" customFormat="1" x14ac:dyDescent="0.4">
      <c r="A1085" s="38"/>
      <c r="D1085" s="39"/>
      <c r="F1085" s="39"/>
    </row>
    <row r="1086" spans="1:6" s="31" customFormat="1" x14ac:dyDescent="0.4">
      <c r="A1086" s="38"/>
      <c r="E1086" s="39"/>
      <c r="F1086" s="39"/>
    </row>
    <row r="1087" spans="1:6" s="31" customFormat="1" x14ac:dyDescent="0.4">
      <c r="A1087" s="38"/>
      <c r="D1087" s="39"/>
      <c r="F1087" s="39"/>
    </row>
    <row r="1088" spans="1:6" s="31" customFormat="1" x14ac:dyDescent="0.4">
      <c r="A1088" s="38"/>
      <c r="F1088" s="39"/>
    </row>
    <row r="1089" spans="1:6" s="31" customFormat="1" x14ac:dyDescent="0.4">
      <c r="A1089" s="38"/>
      <c r="D1089" s="39"/>
      <c r="F1089" s="39"/>
    </row>
    <row r="1090" spans="1:6" s="31" customFormat="1" x14ac:dyDescent="0.4">
      <c r="A1090" s="38"/>
      <c r="D1090" s="39"/>
      <c r="F1090" s="39"/>
    </row>
    <row r="1091" spans="1:6" s="31" customFormat="1" x14ac:dyDescent="0.4">
      <c r="A1091" s="38"/>
      <c r="D1091" s="39"/>
      <c r="F1091" s="39"/>
    </row>
    <row r="1092" spans="1:6" s="31" customFormat="1" x14ac:dyDescent="0.4">
      <c r="A1092" s="38"/>
      <c r="D1092" s="39"/>
      <c r="F1092" s="39"/>
    </row>
    <row r="1093" spans="1:6" s="31" customFormat="1" x14ac:dyDescent="0.4">
      <c r="A1093" s="38"/>
      <c r="D1093" s="39"/>
      <c r="F1093" s="39"/>
    </row>
    <row r="1094" spans="1:6" s="31" customFormat="1" x14ac:dyDescent="0.4">
      <c r="A1094" s="38"/>
      <c r="D1094" s="39"/>
      <c r="F1094" s="39"/>
    </row>
    <row r="1095" spans="1:6" s="31" customFormat="1" x14ac:dyDescent="0.4">
      <c r="A1095" s="38"/>
      <c r="D1095" s="39"/>
      <c r="F1095" s="39"/>
    </row>
    <row r="1096" spans="1:6" s="31" customFormat="1" x14ac:dyDescent="0.4">
      <c r="A1096" s="38"/>
      <c r="E1096" s="39"/>
      <c r="F1096" s="39"/>
    </row>
    <row r="1097" spans="1:6" s="31" customFormat="1" x14ac:dyDescent="0.4">
      <c r="A1097" s="38"/>
      <c r="D1097" s="39"/>
      <c r="F1097" s="39"/>
    </row>
    <row r="1098" spans="1:6" s="31" customFormat="1" x14ac:dyDescent="0.4">
      <c r="A1098" s="38"/>
      <c r="F1098" s="39"/>
    </row>
    <row r="1099" spans="1:6" s="31" customFormat="1" x14ac:dyDescent="0.4">
      <c r="A1099" s="38"/>
      <c r="D1099" s="39"/>
      <c r="F1099" s="39"/>
    </row>
    <row r="1100" spans="1:6" s="31" customFormat="1" x14ac:dyDescent="0.4">
      <c r="A1100" s="38"/>
      <c r="D1100" s="39"/>
      <c r="F1100" s="39"/>
    </row>
    <row r="1101" spans="1:6" s="31" customFormat="1" x14ac:dyDescent="0.4">
      <c r="A1101" s="38"/>
      <c r="D1101" s="39"/>
      <c r="F1101" s="39"/>
    </row>
    <row r="1102" spans="1:6" s="31" customFormat="1" x14ac:dyDescent="0.4">
      <c r="A1102" s="38"/>
      <c r="D1102" s="39"/>
      <c r="F1102" s="39"/>
    </row>
    <row r="1103" spans="1:6" s="31" customFormat="1" x14ac:dyDescent="0.4">
      <c r="A1103" s="38"/>
      <c r="D1103" s="39"/>
      <c r="F1103" s="39"/>
    </row>
    <row r="1104" spans="1:6" s="31" customFormat="1" x14ac:dyDescent="0.4">
      <c r="A1104" s="38"/>
      <c r="D1104" s="39"/>
      <c r="F1104" s="39"/>
    </row>
    <row r="1105" spans="1:6" s="31" customFormat="1" x14ac:dyDescent="0.4">
      <c r="A1105" s="38"/>
      <c r="D1105" s="39"/>
      <c r="F1105" s="39"/>
    </row>
    <row r="1106" spans="1:6" s="31" customFormat="1" x14ac:dyDescent="0.4">
      <c r="A1106" s="38"/>
      <c r="E1106" s="39"/>
      <c r="F1106" s="39"/>
    </row>
    <row r="1107" spans="1:6" s="31" customFormat="1" x14ac:dyDescent="0.4">
      <c r="A1107" s="38"/>
      <c r="D1107" s="39"/>
      <c r="F1107" s="39"/>
    </row>
    <row r="1108" spans="1:6" s="31" customFormat="1" x14ac:dyDescent="0.4">
      <c r="A1108" s="38"/>
      <c r="F1108" s="39"/>
    </row>
    <row r="1109" spans="1:6" s="31" customFormat="1" x14ac:dyDescent="0.4">
      <c r="A1109" s="38"/>
      <c r="D1109" s="39"/>
      <c r="F1109" s="39"/>
    </row>
    <row r="1110" spans="1:6" s="31" customFormat="1" x14ac:dyDescent="0.4">
      <c r="A1110" s="38"/>
      <c r="D1110" s="39"/>
      <c r="F1110" s="39"/>
    </row>
    <row r="1111" spans="1:6" s="31" customFormat="1" x14ac:dyDescent="0.4">
      <c r="A1111" s="38"/>
      <c r="D1111" s="39"/>
      <c r="F1111" s="39"/>
    </row>
    <row r="1112" spans="1:6" s="31" customFormat="1" x14ac:dyDescent="0.4">
      <c r="A1112" s="38"/>
      <c r="D1112" s="39"/>
      <c r="F1112" s="39"/>
    </row>
    <row r="1113" spans="1:6" s="31" customFormat="1" x14ac:dyDescent="0.4">
      <c r="A1113" s="38"/>
      <c r="E1113" s="39"/>
      <c r="F1113" s="39"/>
    </row>
    <row r="1114" spans="1:6" s="31" customFormat="1" x14ac:dyDescent="0.4">
      <c r="A1114" s="38"/>
      <c r="F1114" s="39"/>
    </row>
    <row r="1115" spans="1:6" s="31" customFormat="1" x14ac:dyDescent="0.4">
      <c r="A1115" s="38"/>
      <c r="D1115" s="39"/>
      <c r="F1115" s="39"/>
    </row>
    <row r="1116" spans="1:6" s="31" customFormat="1" x14ac:dyDescent="0.4">
      <c r="A1116" s="38"/>
      <c r="D1116" s="39"/>
      <c r="F1116" s="39"/>
    </row>
    <row r="1117" spans="1:6" s="31" customFormat="1" x14ac:dyDescent="0.4">
      <c r="A1117" s="38"/>
      <c r="D1117" s="39"/>
      <c r="F1117" s="39"/>
    </row>
    <row r="1118" spans="1:6" s="31" customFormat="1" x14ac:dyDescent="0.4">
      <c r="A1118" s="38"/>
      <c r="D1118" s="39"/>
      <c r="F1118" s="39"/>
    </row>
    <row r="1119" spans="1:6" s="31" customFormat="1" x14ac:dyDescent="0.4">
      <c r="A1119" s="38"/>
      <c r="F1119" s="39"/>
    </row>
    <row r="1120" spans="1:6" s="31" customFormat="1" x14ac:dyDescent="0.4">
      <c r="A1120" s="38"/>
      <c r="E1120" s="39"/>
      <c r="F1120" s="39"/>
    </row>
    <row r="1121" spans="1:6" s="31" customFormat="1" x14ac:dyDescent="0.4">
      <c r="A1121" s="38"/>
      <c r="D1121" s="39"/>
      <c r="F1121" s="39"/>
    </row>
    <row r="1122" spans="1:6" s="31" customFormat="1" x14ac:dyDescent="0.4">
      <c r="A1122" s="38"/>
      <c r="F1122" s="39"/>
    </row>
    <row r="1123" spans="1:6" s="31" customFormat="1" x14ac:dyDescent="0.4">
      <c r="A1123" s="38"/>
      <c r="D1123" s="39"/>
      <c r="F1123" s="39"/>
    </row>
    <row r="1124" spans="1:6" s="31" customFormat="1" x14ac:dyDescent="0.4">
      <c r="A1124" s="38"/>
      <c r="D1124" s="39"/>
      <c r="F1124" s="39"/>
    </row>
    <row r="1125" spans="1:6" s="31" customFormat="1" x14ac:dyDescent="0.4">
      <c r="A1125" s="38"/>
      <c r="D1125" s="39"/>
      <c r="F1125" s="39"/>
    </row>
    <row r="1126" spans="1:6" s="31" customFormat="1" x14ac:dyDescent="0.4">
      <c r="A1126" s="38"/>
      <c r="D1126" s="39"/>
      <c r="F1126" s="39"/>
    </row>
    <row r="1127" spans="1:6" s="31" customFormat="1" x14ac:dyDescent="0.4">
      <c r="A1127" s="38"/>
      <c r="D1127" s="39"/>
      <c r="F1127" s="39"/>
    </row>
    <row r="1128" spans="1:6" s="31" customFormat="1" x14ac:dyDescent="0.4">
      <c r="A1128" s="38"/>
      <c r="D1128" s="39"/>
      <c r="F1128" s="39"/>
    </row>
    <row r="1129" spans="1:6" s="31" customFormat="1" x14ac:dyDescent="0.4">
      <c r="A1129" s="38"/>
      <c r="D1129" s="39"/>
      <c r="F1129" s="39"/>
    </row>
    <row r="1130" spans="1:6" s="31" customFormat="1" x14ac:dyDescent="0.4">
      <c r="A1130" s="38"/>
      <c r="D1130" s="39"/>
      <c r="F1130" s="39"/>
    </row>
    <row r="1131" spans="1:6" s="31" customFormat="1" x14ac:dyDescent="0.4">
      <c r="A1131" s="38"/>
      <c r="E1131" s="39"/>
      <c r="F1131" s="39"/>
    </row>
    <row r="1132" spans="1:6" s="31" customFormat="1" x14ac:dyDescent="0.4">
      <c r="A1132" s="38"/>
      <c r="D1132" s="39"/>
      <c r="F1132" s="39"/>
    </row>
    <row r="1133" spans="1:6" s="31" customFormat="1" x14ac:dyDescent="0.4">
      <c r="A1133" s="38"/>
      <c r="F1133" s="39"/>
    </row>
    <row r="1134" spans="1:6" s="31" customFormat="1" x14ac:dyDescent="0.4">
      <c r="A1134" s="38"/>
      <c r="D1134" s="39"/>
      <c r="F1134" s="39"/>
    </row>
    <row r="1135" spans="1:6" s="31" customFormat="1" x14ac:dyDescent="0.4">
      <c r="A1135" s="38"/>
      <c r="D1135" s="39"/>
      <c r="F1135" s="39"/>
    </row>
    <row r="1136" spans="1:6" s="31" customFormat="1" x14ac:dyDescent="0.4">
      <c r="A1136" s="38"/>
      <c r="D1136" s="39"/>
      <c r="F1136" s="39"/>
    </row>
    <row r="1137" spans="1:6" s="31" customFormat="1" x14ac:dyDescent="0.4">
      <c r="A1137" s="38"/>
      <c r="D1137" s="39"/>
      <c r="F1137" s="39"/>
    </row>
    <row r="1138" spans="1:6" s="31" customFormat="1" x14ac:dyDescent="0.4">
      <c r="A1138" s="38"/>
      <c r="D1138" s="39"/>
      <c r="F1138" s="39"/>
    </row>
    <row r="1139" spans="1:6" s="31" customFormat="1" x14ac:dyDescent="0.4">
      <c r="A1139" s="38"/>
      <c r="D1139" s="39"/>
      <c r="F1139" s="39"/>
    </row>
    <row r="1140" spans="1:6" s="31" customFormat="1" x14ac:dyDescent="0.4">
      <c r="A1140" s="38"/>
      <c r="D1140" s="39"/>
      <c r="F1140" s="39"/>
    </row>
    <row r="1141" spans="1:6" s="31" customFormat="1" x14ac:dyDescent="0.4">
      <c r="A1141" s="38"/>
      <c r="D1141" s="39"/>
      <c r="F1141" s="39"/>
    </row>
    <row r="1142" spans="1:6" s="31" customFormat="1" x14ac:dyDescent="0.4">
      <c r="A1142" s="38"/>
      <c r="E1142" s="39"/>
      <c r="F1142" s="39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K1082"/>
  <sheetViews>
    <sheetView workbookViewId="0">
      <selection activeCell="A22" sqref="A22"/>
    </sheetView>
  </sheetViews>
  <sheetFormatPr defaultRowHeight="18.75" x14ac:dyDescent="0.4"/>
  <cols>
    <col min="1" max="1" width="29.5" style="31" bestFit="1" customWidth="1"/>
    <col min="2" max="2" width="31.75" style="31" bestFit="1" customWidth="1"/>
    <col min="4" max="4" width="13" style="31" bestFit="1" customWidth="1"/>
    <col min="5" max="5" width="29.625" style="31" bestFit="1" customWidth="1"/>
    <col min="6" max="6" width="17.25" style="31" bestFit="1" customWidth="1"/>
    <col min="7" max="7" width="11" bestFit="1" customWidth="1"/>
    <col min="8" max="8" width="42.125" style="31" bestFit="1" customWidth="1"/>
    <col min="9" max="9" width="11" style="31" bestFit="1" customWidth="1"/>
    <col min="11" max="11" width="11" style="31" bestFit="1" customWidth="1"/>
  </cols>
  <sheetData>
    <row r="1" spans="1:11" s="31" customFormat="1" x14ac:dyDescent="0.4">
      <c r="A1" s="29" t="s">
        <v>52</v>
      </c>
    </row>
    <row r="2" spans="1:11" s="31" customFormat="1" x14ac:dyDescent="0.4">
      <c r="A2" s="30" t="s">
        <v>53</v>
      </c>
      <c r="B2" s="30" t="s">
        <v>54</v>
      </c>
      <c r="C2" s="30" t="s">
        <v>55</v>
      </c>
      <c r="D2" s="30" t="s">
        <v>56</v>
      </c>
      <c r="E2" s="30" t="s">
        <v>57</v>
      </c>
      <c r="F2" s="30" t="s">
        <v>58</v>
      </c>
      <c r="G2" s="30" t="s">
        <v>59</v>
      </c>
      <c r="H2" s="30" t="s">
        <v>60</v>
      </c>
      <c r="I2" s="30" t="s">
        <v>61</v>
      </c>
      <c r="J2" s="30" t="s">
        <v>62</v>
      </c>
      <c r="K2" s="30" t="s">
        <v>63</v>
      </c>
    </row>
    <row r="3" spans="1:11" s="31" customFormat="1" x14ac:dyDescent="0.4">
      <c r="A3" s="38">
        <v>43770</v>
      </c>
      <c r="B3" s="31" t="s">
        <v>79</v>
      </c>
      <c r="C3" s="39">
        <v>5000</v>
      </c>
      <c r="E3" s="39">
        <v>5000</v>
      </c>
      <c r="F3" s="31" t="s">
        <v>80</v>
      </c>
      <c r="H3" s="39">
        <v>5000</v>
      </c>
      <c r="J3" s="31" t="s">
        <v>81</v>
      </c>
    </row>
    <row r="4" spans="1:11" s="31" customFormat="1" x14ac:dyDescent="0.4">
      <c r="A4" s="38">
        <v>43770</v>
      </c>
      <c r="B4" s="31" t="s">
        <v>82</v>
      </c>
      <c r="C4" s="39">
        <v>5275</v>
      </c>
      <c r="E4" s="39">
        <v>5275</v>
      </c>
      <c r="F4" s="31" t="s">
        <v>80</v>
      </c>
      <c r="H4" s="39">
        <v>5275</v>
      </c>
      <c r="J4" s="31" t="s">
        <v>81</v>
      </c>
    </row>
    <row r="5" spans="1:11" s="31" customFormat="1" x14ac:dyDescent="0.4">
      <c r="A5" s="38">
        <v>43771</v>
      </c>
      <c r="B5" s="31" t="s">
        <v>77</v>
      </c>
      <c r="C5" s="39">
        <v>1480</v>
      </c>
      <c r="E5" s="39">
        <v>1480</v>
      </c>
      <c r="F5" s="31" t="s">
        <v>80</v>
      </c>
      <c r="H5" s="39">
        <v>1480</v>
      </c>
      <c r="J5" s="31" t="s">
        <v>81</v>
      </c>
    </row>
    <row r="6" spans="1:11" s="31" customFormat="1" x14ac:dyDescent="0.4">
      <c r="A6" s="38">
        <v>43771</v>
      </c>
      <c r="B6" s="31" t="s">
        <v>77</v>
      </c>
      <c r="C6" s="39">
        <v>10155</v>
      </c>
      <c r="E6" s="39">
        <v>10155</v>
      </c>
      <c r="F6" s="31" t="s">
        <v>80</v>
      </c>
      <c r="H6" s="39">
        <v>10155</v>
      </c>
      <c r="J6" s="31" t="s">
        <v>81</v>
      </c>
    </row>
    <row r="7" spans="1:11" s="31" customFormat="1" x14ac:dyDescent="0.4">
      <c r="A7" s="38">
        <v>43772</v>
      </c>
      <c r="B7" s="31" t="s">
        <v>83</v>
      </c>
      <c r="C7" s="39">
        <v>2000</v>
      </c>
      <c r="E7" s="39">
        <v>2000</v>
      </c>
      <c r="F7" s="31" t="s">
        <v>80</v>
      </c>
      <c r="H7" s="39">
        <v>2000</v>
      </c>
      <c r="J7" s="31" t="s">
        <v>81</v>
      </c>
    </row>
    <row r="8" spans="1:11" s="31" customFormat="1" x14ac:dyDescent="0.4">
      <c r="A8" s="38">
        <v>43773</v>
      </c>
      <c r="B8" s="31" t="s">
        <v>84</v>
      </c>
      <c r="C8" s="39">
        <v>2011</v>
      </c>
      <c r="E8" s="39">
        <v>2011</v>
      </c>
      <c r="F8" s="31" t="s">
        <v>80</v>
      </c>
      <c r="H8" s="39">
        <v>2011</v>
      </c>
      <c r="J8" s="31" t="s">
        <v>81</v>
      </c>
    </row>
    <row r="9" spans="1:11" s="31" customFormat="1" x14ac:dyDescent="0.4">
      <c r="A9" s="38">
        <v>43774</v>
      </c>
      <c r="B9" s="31" t="s">
        <v>79</v>
      </c>
      <c r="C9" s="39">
        <v>5000</v>
      </c>
      <c r="E9" s="39">
        <v>5000</v>
      </c>
      <c r="F9" s="31" t="s">
        <v>80</v>
      </c>
      <c r="H9" s="39">
        <v>5000</v>
      </c>
      <c r="J9" s="31" t="s">
        <v>81</v>
      </c>
    </row>
    <row r="10" spans="1:11" s="31" customFormat="1" x14ac:dyDescent="0.4">
      <c r="A10" s="38">
        <v>43776</v>
      </c>
      <c r="B10" s="31" t="s">
        <v>79</v>
      </c>
      <c r="C10" s="39">
        <v>5000</v>
      </c>
      <c r="E10" s="39">
        <v>5000</v>
      </c>
      <c r="F10" s="31" t="s">
        <v>80</v>
      </c>
      <c r="H10" s="39">
        <v>5000</v>
      </c>
      <c r="J10" s="31" t="s">
        <v>81</v>
      </c>
    </row>
    <row r="11" spans="1:11" s="31" customFormat="1" x14ac:dyDescent="0.4">
      <c r="A11" s="38">
        <v>43778</v>
      </c>
      <c r="B11" s="31" t="s">
        <v>85</v>
      </c>
      <c r="C11" s="39">
        <v>4653</v>
      </c>
      <c r="E11" s="39">
        <v>4653</v>
      </c>
      <c r="F11" s="31" t="s">
        <v>80</v>
      </c>
      <c r="H11" s="39">
        <v>4653</v>
      </c>
      <c r="J11" s="31" t="s">
        <v>81</v>
      </c>
    </row>
    <row r="12" spans="1:11" s="31" customFormat="1" x14ac:dyDescent="0.4">
      <c r="A12" s="38">
        <v>43779</v>
      </c>
      <c r="B12" s="31" t="s">
        <v>86</v>
      </c>
      <c r="C12" s="31">
        <v>870</v>
      </c>
      <c r="E12" s="31">
        <v>870</v>
      </c>
      <c r="F12" s="31" t="s">
        <v>80</v>
      </c>
      <c r="H12" s="31">
        <v>870</v>
      </c>
      <c r="J12" s="31" t="s">
        <v>81</v>
      </c>
    </row>
    <row r="13" spans="1:11" s="31" customFormat="1" x14ac:dyDescent="0.4">
      <c r="A13" s="38">
        <v>43783</v>
      </c>
      <c r="B13" s="31" t="s">
        <v>79</v>
      </c>
      <c r="C13" s="39">
        <v>5000</v>
      </c>
      <c r="E13" s="39">
        <v>5000</v>
      </c>
      <c r="F13" s="31" t="s">
        <v>80</v>
      </c>
      <c r="H13" s="39">
        <v>5000</v>
      </c>
      <c r="J13" s="31" t="s">
        <v>81</v>
      </c>
    </row>
    <row r="14" spans="1:11" s="31" customFormat="1" x14ac:dyDescent="0.4">
      <c r="A14" s="38">
        <v>43785</v>
      </c>
      <c r="B14" s="31" t="s">
        <v>87</v>
      </c>
      <c r="C14" s="39">
        <v>6460</v>
      </c>
      <c r="E14" s="39">
        <v>6460</v>
      </c>
      <c r="F14" s="31" t="s">
        <v>80</v>
      </c>
      <c r="H14" s="39">
        <v>6460</v>
      </c>
      <c r="J14" s="31" t="s">
        <v>81</v>
      </c>
    </row>
    <row r="15" spans="1:11" s="31" customFormat="1" x14ac:dyDescent="0.4">
      <c r="A15" s="38">
        <v>43786</v>
      </c>
      <c r="B15" s="31" t="s">
        <v>77</v>
      </c>
      <c r="C15" s="39">
        <v>2550</v>
      </c>
      <c r="E15" s="39">
        <v>2550</v>
      </c>
      <c r="F15" s="31" t="s">
        <v>80</v>
      </c>
      <c r="H15" s="39">
        <v>2550</v>
      </c>
      <c r="J15" s="31" t="s">
        <v>81</v>
      </c>
    </row>
    <row r="16" spans="1:11" s="31" customFormat="1" x14ac:dyDescent="0.4">
      <c r="A16" s="38">
        <v>43787</v>
      </c>
      <c r="B16" s="31" t="s">
        <v>79</v>
      </c>
      <c r="C16" s="39">
        <v>5000</v>
      </c>
      <c r="E16" s="39">
        <v>5000</v>
      </c>
      <c r="F16" s="31" t="s">
        <v>80</v>
      </c>
      <c r="H16" s="39">
        <v>5000</v>
      </c>
      <c r="J16" s="31" t="s">
        <v>81</v>
      </c>
    </row>
    <row r="17" spans="1:10" s="31" customFormat="1" x14ac:dyDescent="0.4">
      <c r="A17" s="38">
        <v>43788</v>
      </c>
      <c r="B17" s="31" t="s">
        <v>79</v>
      </c>
      <c r="C17" s="39">
        <v>5000</v>
      </c>
      <c r="E17" s="39">
        <v>5000</v>
      </c>
      <c r="F17" s="31" t="s">
        <v>80</v>
      </c>
      <c r="H17" s="39">
        <v>5000</v>
      </c>
      <c r="J17" s="31" t="s">
        <v>81</v>
      </c>
    </row>
    <row r="18" spans="1:10" s="31" customFormat="1" x14ac:dyDescent="0.4">
      <c r="A18" s="38">
        <v>43791</v>
      </c>
      <c r="B18" s="31" t="s">
        <v>79</v>
      </c>
      <c r="C18" s="39">
        <v>5000</v>
      </c>
      <c r="E18" s="39">
        <v>5000</v>
      </c>
      <c r="F18" s="31" t="s">
        <v>80</v>
      </c>
      <c r="H18" s="39">
        <v>5000</v>
      </c>
      <c r="J18" s="31" t="s">
        <v>81</v>
      </c>
    </row>
    <row r="19" spans="1:10" s="31" customFormat="1" x14ac:dyDescent="0.4">
      <c r="A19" s="38">
        <v>43792</v>
      </c>
      <c r="B19" s="31" t="s">
        <v>85</v>
      </c>
      <c r="C19" s="39">
        <v>2246</v>
      </c>
      <c r="E19" s="39">
        <v>2246</v>
      </c>
      <c r="F19" s="31" t="s">
        <v>80</v>
      </c>
      <c r="H19" s="39">
        <v>2246</v>
      </c>
      <c r="J19" s="31" t="s">
        <v>81</v>
      </c>
    </row>
    <row r="20" spans="1:10" s="31" customFormat="1" x14ac:dyDescent="0.4">
      <c r="A20" s="38">
        <v>43792</v>
      </c>
      <c r="B20" s="31" t="s">
        <v>88</v>
      </c>
      <c r="C20" s="39">
        <v>7454</v>
      </c>
      <c r="E20" s="39">
        <v>7454</v>
      </c>
      <c r="F20" s="31" t="s">
        <v>80</v>
      </c>
      <c r="H20" s="39">
        <v>7454</v>
      </c>
      <c r="J20" s="31" t="s">
        <v>81</v>
      </c>
    </row>
    <row r="21" spans="1:10" s="31" customFormat="1" x14ac:dyDescent="0.4">
      <c r="A21" s="38">
        <v>43793</v>
      </c>
      <c r="B21" s="31" t="s">
        <v>89</v>
      </c>
      <c r="C21" s="31">
        <v>599</v>
      </c>
      <c r="E21" s="31">
        <v>599</v>
      </c>
      <c r="F21" s="31" t="s">
        <v>80</v>
      </c>
      <c r="H21" s="31">
        <v>599</v>
      </c>
      <c r="J21" s="31" t="s">
        <v>81</v>
      </c>
    </row>
    <row r="22" spans="1:10" s="31" customFormat="1" x14ac:dyDescent="0.4">
      <c r="A22" s="38">
        <v>43793</v>
      </c>
      <c r="B22" s="31" t="s">
        <v>89</v>
      </c>
      <c r="C22" s="39">
        <v>3520</v>
      </c>
      <c r="E22" s="39">
        <v>3520</v>
      </c>
      <c r="F22" s="31" t="s">
        <v>80</v>
      </c>
      <c r="H22" s="39">
        <v>3520</v>
      </c>
      <c r="J22" s="31" t="s">
        <v>81</v>
      </c>
    </row>
    <row r="23" spans="1:10" s="31" customFormat="1" x14ac:dyDescent="0.4">
      <c r="A23" s="38">
        <v>43794</v>
      </c>
      <c r="B23" s="31" t="s">
        <v>77</v>
      </c>
      <c r="C23" s="31">
        <v>580</v>
      </c>
      <c r="E23" s="31">
        <v>580</v>
      </c>
      <c r="F23" s="31" t="s">
        <v>80</v>
      </c>
      <c r="H23" s="31">
        <v>580</v>
      </c>
      <c r="J23" s="31" t="s">
        <v>81</v>
      </c>
    </row>
    <row r="24" spans="1:10" s="31" customFormat="1" x14ac:dyDescent="0.4">
      <c r="A24" s="38">
        <v>43794</v>
      </c>
      <c r="B24" s="31" t="s">
        <v>77</v>
      </c>
      <c r="C24" s="39">
        <v>1304</v>
      </c>
      <c r="E24" s="39">
        <v>1304</v>
      </c>
      <c r="F24" s="31" t="s">
        <v>80</v>
      </c>
      <c r="H24" s="39">
        <v>1304</v>
      </c>
      <c r="J24" s="31" t="s">
        <v>81</v>
      </c>
    </row>
    <row r="25" spans="1:10" s="31" customFormat="1" x14ac:dyDescent="0.4">
      <c r="A25" s="38">
        <v>43796</v>
      </c>
      <c r="B25" s="31" t="s">
        <v>79</v>
      </c>
      <c r="C25" s="39">
        <v>5000</v>
      </c>
      <c r="E25" s="39">
        <v>5000</v>
      </c>
      <c r="F25" s="31" t="s">
        <v>80</v>
      </c>
      <c r="H25" s="39">
        <v>5000</v>
      </c>
      <c r="J25" s="31" t="s">
        <v>81</v>
      </c>
    </row>
    <row r="26" spans="1:10" s="31" customFormat="1" x14ac:dyDescent="0.4">
      <c r="A26" s="38">
        <v>43799</v>
      </c>
      <c r="B26" s="31" t="s">
        <v>90</v>
      </c>
      <c r="C26" s="39">
        <v>7418</v>
      </c>
      <c r="E26" s="39">
        <v>7418</v>
      </c>
      <c r="F26" s="31" t="s">
        <v>80</v>
      </c>
      <c r="H26" s="39">
        <v>7418</v>
      </c>
      <c r="J26" s="31" t="s">
        <v>81</v>
      </c>
    </row>
    <row r="27" spans="1:10" s="31" customFormat="1" x14ac:dyDescent="0.4">
      <c r="A27" s="38">
        <v>43800</v>
      </c>
      <c r="B27" s="31" t="s">
        <v>91</v>
      </c>
      <c r="C27" s="31">
        <v>-323</v>
      </c>
      <c r="E27" s="31">
        <v>0</v>
      </c>
      <c r="H27" s="31">
        <v>0</v>
      </c>
      <c r="J27" s="31" t="s">
        <v>81</v>
      </c>
    </row>
    <row r="28" spans="1:10" s="31" customFormat="1" x14ac:dyDescent="0.4">
      <c r="A28" s="38">
        <v>43800</v>
      </c>
      <c r="B28" s="31" t="s">
        <v>235</v>
      </c>
      <c r="C28" s="39">
        <v>1200</v>
      </c>
      <c r="E28" s="39">
        <v>1200</v>
      </c>
      <c r="F28" s="31" t="s">
        <v>80</v>
      </c>
      <c r="H28" s="39">
        <v>1200</v>
      </c>
      <c r="J28" s="31" t="s">
        <v>81</v>
      </c>
    </row>
    <row r="29" spans="1:10" s="31" customFormat="1" x14ac:dyDescent="0.4">
      <c r="A29" s="38">
        <v>43800</v>
      </c>
      <c r="B29" s="31" t="s">
        <v>236</v>
      </c>
      <c r="C29" s="39">
        <v>1078</v>
      </c>
      <c r="E29" s="39">
        <v>1078</v>
      </c>
      <c r="F29" s="31" t="s">
        <v>80</v>
      </c>
      <c r="H29" s="39">
        <v>1078</v>
      </c>
      <c r="J29" s="31" t="s">
        <v>81</v>
      </c>
    </row>
    <row r="30" spans="1:10" s="31" customFormat="1" x14ac:dyDescent="0.4">
      <c r="A30" s="38">
        <v>43800</v>
      </c>
      <c r="B30" s="31" t="s">
        <v>82</v>
      </c>
      <c r="C30" s="39">
        <v>5275</v>
      </c>
      <c r="E30" s="39">
        <v>5275</v>
      </c>
      <c r="F30" s="31" t="s">
        <v>80</v>
      </c>
      <c r="H30" s="39">
        <v>5275</v>
      </c>
      <c r="J30" s="31" t="s">
        <v>81</v>
      </c>
    </row>
    <row r="31" spans="1:10" s="31" customFormat="1" x14ac:dyDescent="0.4">
      <c r="A31" s="38">
        <v>43801</v>
      </c>
      <c r="B31" s="31" t="s">
        <v>79</v>
      </c>
      <c r="C31" s="39">
        <v>5000</v>
      </c>
      <c r="E31" s="39">
        <v>5000</v>
      </c>
      <c r="F31" s="31" t="s">
        <v>80</v>
      </c>
      <c r="H31" s="39">
        <v>5000</v>
      </c>
      <c r="J31" s="31" t="s">
        <v>81</v>
      </c>
    </row>
    <row r="32" spans="1:10" s="31" customFormat="1" x14ac:dyDescent="0.4">
      <c r="A32" s="38">
        <v>43803</v>
      </c>
      <c r="B32" s="31" t="s">
        <v>79</v>
      </c>
      <c r="C32" s="39">
        <v>5000</v>
      </c>
      <c r="E32" s="39">
        <v>5000</v>
      </c>
      <c r="F32" s="31" t="s">
        <v>80</v>
      </c>
      <c r="H32" s="39">
        <v>5000</v>
      </c>
      <c r="J32" s="31" t="s">
        <v>81</v>
      </c>
    </row>
    <row r="33" spans="1:10" s="31" customFormat="1" x14ac:dyDescent="0.4">
      <c r="A33" s="38">
        <v>43806</v>
      </c>
      <c r="B33" s="31" t="s">
        <v>237</v>
      </c>
      <c r="C33" s="31">
        <v>540</v>
      </c>
      <c r="E33" s="31">
        <v>540</v>
      </c>
      <c r="F33" s="31" t="s">
        <v>80</v>
      </c>
      <c r="H33" s="31">
        <v>540</v>
      </c>
      <c r="J33" s="31" t="s">
        <v>81</v>
      </c>
    </row>
    <row r="34" spans="1:10" s="31" customFormat="1" x14ac:dyDescent="0.4">
      <c r="A34" s="38">
        <v>43806</v>
      </c>
      <c r="B34" s="31" t="s">
        <v>238</v>
      </c>
      <c r="C34" s="39">
        <v>7557</v>
      </c>
      <c r="E34" s="39">
        <v>7557</v>
      </c>
      <c r="F34" s="31" t="s">
        <v>80</v>
      </c>
      <c r="H34" s="39">
        <v>7557</v>
      </c>
      <c r="J34" s="31" t="s">
        <v>81</v>
      </c>
    </row>
    <row r="35" spans="1:10" s="31" customFormat="1" x14ac:dyDescent="0.4">
      <c r="A35" s="38">
        <v>43807</v>
      </c>
      <c r="B35" s="31" t="s">
        <v>239</v>
      </c>
      <c r="C35" s="31">
        <v>979</v>
      </c>
      <c r="E35" s="31">
        <v>979</v>
      </c>
      <c r="F35" s="31" t="s">
        <v>80</v>
      </c>
      <c r="H35" s="31">
        <v>979</v>
      </c>
      <c r="J35" s="31" t="s">
        <v>81</v>
      </c>
    </row>
    <row r="36" spans="1:10" s="31" customFormat="1" x14ac:dyDescent="0.4">
      <c r="A36" s="38">
        <v>43809</v>
      </c>
      <c r="B36" s="31" t="s">
        <v>79</v>
      </c>
      <c r="C36" s="39">
        <v>5000</v>
      </c>
      <c r="E36" s="39">
        <v>5000</v>
      </c>
      <c r="F36" s="31" t="s">
        <v>80</v>
      </c>
      <c r="H36" s="39">
        <v>5000</v>
      </c>
      <c r="J36" s="31" t="s">
        <v>81</v>
      </c>
    </row>
    <row r="37" spans="1:10" s="31" customFormat="1" x14ac:dyDescent="0.4">
      <c r="A37" s="38">
        <v>43812</v>
      </c>
      <c r="B37" s="31" t="s">
        <v>79</v>
      </c>
      <c r="C37" s="39">
        <v>5000</v>
      </c>
      <c r="E37" s="39">
        <v>5000</v>
      </c>
      <c r="F37" s="31" t="s">
        <v>80</v>
      </c>
      <c r="H37" s="39">
        <v>5000</v>
      </c>
      <c r="J37" s="31" t="s">
        <v>81</v>
      </c>
    </row>
    <row r="38" spans="1:10" s="31" customFormat="1" x14ac:dyDescent="0.4">
      <c r="A38" s="38">
        <v>43813</v>
      </c>
      <c r="B38" s="31" t="s">
        <v>240</v>
      </c>
      <c r="C38" s="31">
        <v>780</v>
      </c>
      <c r="E38" s="31">
        <v>780</v>
      </c>
      <c r="F38" s="31" t="s">
        <v>80</v>
      </c>
      <c r="H38" s="31">
        <v>780</v>
      </c>
      <c r="J38" s="31" t="s">
        <v>81</v>
      </c>
    </row>
    <row r="39" spans="1:10" s="31" customFormat="1" x14ac:dyDescent="0.4">
      <c r="A39" s="38">
        <v>43813</v>
      </c>
      <c r="B39" s="31" t="s">
        <v>238</v>
      </c>
      <c r="C39" s="39">
        <v>8361</v>
      </c>
      <c r="E39" s="39">
        <v>8361</v>
      </c>
      <c r="F39" s="31" t="s">
        <v>80</v>
      </c>
      <c r="H39" s="39">
        <v>8361</v>
      </c>
      <c r="J39" s="31" t="s">
        <v>81</v>
      </c>
    </row>
    <row r="40" spans="1:10" s="31" customFormat="1" x14ac:dyDescent="0.4">
      <c r="A40" s="38">
        <v>43818</v>
      </c>
      <c r="B40" s="31" t="s">
        <v>79</v>
      </c>
      <c r="C40" s="39">
        <v>5000</v>
      </c>
      <c r="E40" s="39">
        <v>5000</v>
      </c>
      <c r="F40" s="31" t="s">
        <v>80</v>
      </c>
      <c r="H40" s="39">
        <v>5000</v>
      </c>
      <c r="J40" s="31" t="s">
        <v>81</v>
      </c>
    </row>
    <row r="41" spans="1:10" s="31" customFormat="1" x14ac:dyDescent="0.4">
      <c r="A41" s="38">
        <v>43820</v>
      </c>
      <c r="B41" s="31" t="s">
        <v>238</v>
      </c>
      <c r="C41" s="39">
        <v>1339</v>
      </c>
      <c r="E41" s="39">
        <v>1339</v>
      </c>
      <c r="F41" s="31" t="s">
        <v>80</v>
      </c>
      <c r="H41" s="39">
        <v>1339</v>
      </c>
      <c r="J41" s="31" t="s">
        <v>81</v>
      </c>
    </row>
    <row r="42" spans="1:10" s="31" customFormat="1" x14ac:dyDescent="0.4">
      <c r="A42" s="38">
        <v>43820</v>
      </c>
      <c r="B42" s="31" t="s">
        <v>238</v>
      </c>
      <c r="C42" s="39">
        <v>5074</v>
      </c>
      <c r="E42" s="39">
        <v>5074</v>
      </c>
      <c r="F42" s="31" t="s">
        <v>80</v>
      </c>
      <c r="H42" s="39">
        <v>5074</v>
      </c>
      <c r="J42" s="31" t="s">
        <v>81</v>
      </c>
    </row>
    <row r="43" spans="1:10" s="31" customFormat="1" x14ac:dyDescent="0.4">
      <c r="A43" s="38">
        <v>43821</v>
      </c>
      <c r="B43" s="31" t="s">
        <v>238</v>
      </c>
      <c r="C43" s="39">
        <v>1027</v>
      </c>
      <c r="E43" s="39">
        <v>1027</v>
      </c>
      <c r="F43" s="31" t="s">
        <v>80</v>
      </c>
      <c r="H43" s="39">
        <v>1027</v>
      </c>
      <c r="J43" s="31" t="s">
        <v>81</v>
      </c>
    </row>
    <row r="44" spans="1:10" s="31" customFormat="1" x14ac:dyDescent="0.4">
      <c r="A44" s="38">
        <v>43823</v>
      </c>
      <c r="B44" s="31" t="s">
        <v>79</v>
      </c>
      <c r="C44" s="39">
        <v>5000</v>
      </c>
      <c r="E44" s="39">
        <v>5000</v>
      </c>
      <c r="F44" s="31" t="s">
        <v>80</v>
      </c>
      <c r="H44" s="39">
        <v>5000</v>
      </c>
      <c r="J44" s="31" t="s">
        <v>81</v>
      </c>
    </row>
    <row r="45" spans="1:10" s="31" customFormat="1" x14ac:dyDescent="0.4">
      <c r="A45" s="38">
        <v>43828</v>
      </c>
      <c r="B45" s="31" t="s">
        <v>238</v>
      </c>
      <c r="C45" s="39">
        <v>3359</v>
      </c>
      <c r="E45" s="39">
        <v>3359</v>
      </c>
      <c r="F45" s="31" t="s">
        <v>80</v>
      </c>
      <c r="H45" s="39">
        <v>3359</v>
      </c>
      <c r="J45" s="31" t="s">
        <v>81</v>
      </c>
    </row>
    <row r="46" spans="1:10" s="31" customFormat="1" x14ac:dyDescent="0.4">
      <c r="A46" s="38">
        <v>43830</v>
      </c>
      <c r="B46" s="31" t="s">
        <v>240</v>
      </c>
      <c r="C46" s="31">
        <v>390</v>
      </c>
      <c r="E46" s="31">
        <v>390</v>
      </c>
      <c r="F46" s="31" t="s">
        <v>80</v>
      </c>
      <c r="H46" s="31">
        <v>390</v>
      </c>
      <c r="J46" s="31" t="s">
        <v>81</v>
      </c>
    </row>
    <row r="47" spans="1:10" s="31" customFormat="1" x14ac:dyDescent="0.4">
      <c r="A47" s="38">
        <v>43830</v>
      </c>
      <c r="B47" s="31" t="s">
        <v>240</v>
      </c>
      <c r="C47" s="31">
        <v>740</v>
      </c>
      <c r="E47" s="31">
        <v>740</v>
      </c>
      <c r="F47" s="31" t="s">
        <v>80</v>
      </c>
      <c r="H47" s="31">
        <v>740</v>
      </c>
      <c r="J47" s="31" t="s">
        <v>81</v>
      </c>
    </row>
    <row r="48" spans="1:10" s="31" customFormat="1" x14ac:dyDescent="0.4">
      <c r="A48" s="38">
        <v>43830</v>
      </c>
      <c r="B48" s="31" t="s">
        <v>237</v>
      </c>
      <c r="C48" s="39">
        <v>6732</v>
      </c>
      <c r="E48" s="39">
        <v>6732</v>
      </c>
      <c r="F48" s="31" t="s">
        <v>80</v>
      </c>
      <c r="H48" s="39">
        <v>6732</v>
      </c>
      <c r="J48" s="31" t="s">
        <v>81</v>
      </c>
    </row>
    <row r="49" spans="1:10" s="31" customFormat="1" x14ac:dyDescent="0.4">
      <c r="A49" s="38">
        <v>43831</v>
      </c>
      <c r="B49" s="31" t="s">
        <v>82</v>
      </c>
      <c r="C49" s="39">
        <v>5275</v>
      </c>
      <c r="E49" s="39">
        <v>5275</v>
      </c>
      <c r="F49" s="31" t="s">
        <v>80</v>
      </c>
      <c r="H49" s="39">
        <v>5275</v>
      </c>
      <c r="J49" s="31" t="s">
        <v>81</v>
      </c>
    </row>
    <row r="50" spans="1:10" s="31" customFormat="1" x14ac:dyDescent="0.4">
      <c r="A50" s="38">
        <v>43832</v>
      </c>
      <c r="B50" s="31" t="s">
        <v>89</v>
      </c>
      <c r="C50" s="39">
        <v>1246</v>
      </c>
      <c r="E50" s="39">
        <v>1246</v>
      </c>
      <c r="F50" s="31" t="s">
        <v>80</v>
      </c>
      <c r="H50" s="39">
        <v>1246</v>
      </c>
      <c r="J50" s="31" t="s">
        <v>81</v>
      </c>
    </row>
    <row r="51" spans="1:10" s="31" customFormat="1" x14ac:dyDescent="0.4">
      <c r="A51" s="38">
        <v>43832</v>
      </c>
      <c r="B51" s="31" t="s">
        <v>237</v>
      </c>
      <c r="C51" s="39">
        <v>8289</v>
      </c>
      <c r="E51" s="39">
        <v>8289</v>
      </c>
      <c r="F51" s="31" t="s">
        <v>80</v>
      </c>
      <c r="H51" s="39">
        <v>8289</v>
      </c>
      <c r="J51" s="31" t="s">
        <v>81</v>
      </c>
    </row>
    <row r="52" spans="1:10" s="31" customFormat="1" x14ac:dyDescent="0.4">
      <c r="A52" s="38">
        <v>43834</v>
      </c>
      <c r="B52" s="31" t="s">
        <v>237</v>
      </c>
      <c r="C52" s="39">
        <v>7050</v>
      </c>
      <c r="E52" s="39">
        <v>7050</v>
      </c>
      <c r="F52" s="31" t="s">
        <v>80</v>
      </c>
      <c r="H52" s="39">
        <v>7050</v>
      </c>
      <c r="J52" s="31" t="s">
        <v>81</v>
      </c>
    </row>
    <row r="53" spans="1:10" s="31" customFormat="1" x14ac:dyDescent="0.4">
      <c r="A53" s="38">
        <v>43836</v>
      </c>
      <c r="B53" s="31" t="s">
        <v>79</v>
      </c>
      <c r="C53" s="39">
        <v>5000</v>
      </c>
      <c r="E53" s="39">
        <v>5000</v>
      </c>
      <c r="F53" s="31" t="s">
        <v>80</v>
      </c>
      <c r="H53" s="39">
        <v>5000</v>
      </c>
      <c r="J53" s="31" t="s">
        <v>81</v>
      </c>
    </row>
    <row r="54" spans="1:10" s="31" customFormat="1" x14ac:dyDescent="0.4">
      <c r="A54" s="38">
        <v>43837</v>
      </c>
      <c r="B54" s="31" t="s">
        <v>79</v>
      </c>
      <c r="C54" s="39">
        <v>5000</v>
      </c>
      <c r="E54" s="39">
        <v>5000</v>
      </c>
      <c r="F54" s="31" t="s">
        <v>80</v>
      </c>
      <c r="H54" s="39">
        <v>5000</v>
      </c>
      <c r="J54" s="31" t="s">
        <v>81</v>
      </c>
    </row>
    <row r="55" spans="1:10" s="31" customFormat="1" x14ac:dyDescent="0.4">
      <c r="A55" s="38">
        <v>43837</v>
      </c>
      <c r="B55" s="31" t="s">
        <v>238</v>
      </c>
      <c r="C55" s="31">
        <v>500</v>
      </c>
      <c r="E55" s="31">
        <v>500</v>
      </c>
      <c r="F55" s="31" t="s">
        <v>80</v>
      </c>
      <c r="H55" s="31">
        <v>500</v>
      </c>
      <c r="J55" s="31" t="s">
        <v>81</v>
      </c>
    </row>
    <row r="56" spans="1:10" s="31" customFormat="1" x14ac:dyDescent="0.4">
      <c r="A56" s="38">
        <v>43837</v>
      </c>
      <c r="B56" s="31" t="s">
        <v>238</v>
      </c>
      <c r="C56" s="31">
        <v>640</v>
      </c>
      <c r="E56" s="31">
        <v>640</v>
      </c>
      <c r="F56" s="31" t="s">
        <v>80</v>
      </c>
      <c r="H56" s="31">
        <v>640</v>
      </c>
      <c r="J56" s="31" t="s">
        <v>81</v>
      </c>
    </row>
    <row r="57" spans="1:10" s="31" customFormat="1" x14ac:dyDescent="0.4">
      <c r="A57" s="38">
        <v>43841</v>
      </c>
      <c r="B57" s="31" t="s">
        <v>237</v>
      </c>
      <c r="C57" s="39">
        <v>7248</v>
      </c>
      <c r="E57" s="39">
        <v>7248</v>
      </c>
      <c r="F57" s="31" t="s">
        <v>80</v>
      </c>
      <c r="H57" s="39">
        <v>7248</v>
      </c>
      <c r="J57" s="31" t="s">
        <v>81</v>
      </c>
    </row>
    <row r="58" spans="1:10" s="31" customFormat="1" x14ac:dyDescent="0.4">
      <c r="A58" s="38">
        <v>43843</v>
      </c>
      <c r="B58" s="31" t="s">
        <v>241</v>
      </c>
      <c r="C58" s="39">
        <v>1414</v>
      </c>
      <c r="E58" s="39">
        <v>1414</v>
      </c>
      <c r="F58" s="31" t="s">
        <v>80</v>
      </c>
      <c r="H58" s="39">
        <v>1414</v>
      </c>
      <c r="J58" s="31" t="s">
        <v>81</v>
      </c>
    </row>
    <row r="59" spans="1:10" s="31" customFormat="1" x14ac:dyDescent="0.4">
      <c r="A59" s="38">
        <v>43843</v>
      </c>
      <c r="B59" s="31" t="s">
        <v>241</v>
      </c>
      <c r="C59" s="39">
        <v>2673</v>
      </c>
      <c r="E59" s="39">
        <v>2673</v>
      </c>
      <c r="F59" s="31" t="s">
        <v>80</v>
      </c>
      <c r="H59" s="39">
        <v>2673</v>
      </c>
      <c r="J59" s="31" t="s">
        <v>81</v>
      </c>
    </row>
    <row r="60" spans="1:10" s="31" customFormat="1" x14ac:dyDescent="0.4">
      <c r="A60" s="38">
        <v>43843</v>
      </c>
      <c r="B60" s="31" t="s">
        <v>237</v>
      </c>
      <c r="C60" s="39">
        <v>5268</v>
      </c>
      <c r="E60" s="39">
        <v>5268</v>
      </c>
      <c r="F60" s="31" t="s">
        <v>80</v>
      </c>
      <c r="H60" s="39">
        <v>5268</v>
      </c>
      <c r="J60" s="31" t="s">
        <v>81</v>
      </c>
    </row>
    <row r="61" spans="1:10" s="31" customFormat="1" x14ac:dyDescent="0.4">
      <c r="A61" s="38">
        <v>43844</v>
      </c>
      <c r="B61" s="31" t="s">
        <v>79</v>
      </c>
      <c r="C61" s="39">
        <v>5000</v>
      </c>
      <c r="E61" s="39">
        <v>5000</v>
      </c>
      <c r="F61" s="31" t="s">
        <v>80</v>
      </c>
      <c r="H61" s="39">
        <v>5000</v>
      </c>
      <c r="J61" s="31" t="s">
        <v>81</v>
      </c>
    </row>
    <row r="62" spans="1:10" s="31" customFormat="1" x14ac:dyDescent="0.4">
      <c r="A62" s="38">
        <v>43848</v>
      </c>
      <c r="B62" s="31" t="s">
        <v>242</v>
      </c>
      <c r="C62" s="39">
        <v>29260</v>
      </c>
      <c r="E62" s="39">
        <v>29260</v>
      </c>
      <c r="F62" s="31" t="s">
        <v>80</v>
      </c>
      <c r="H62" s="39">
        <v>29260</v>
      </c>
      <c r="J62" s="31" t="s">
        <v>81</v>
      </c>
    </row>
    <row r="63" spans="1:10" s="31" customFormat="1" x14ac:dyDescent="0.4">
      <c r="A63" s="38">
        <v>43848</v>
      </c>
      <c r="B63" s="31" t="s">
        <v>237</v>
      </c>
      <c r="C63" s="39">
        <v>1142</v>
      </c>
      <c r="E63" s="39">
        <v>1142</v>
      </c>
      <c r="F63" s="31" t="s">
        <v>80</v>
      </c>
      <c r="H63" s="39">
        <v>1142</v>
      </c>
      <c r="J63" s="31" t="s">
        <v>81</v>
      </c>
    </row>
    <row r="64" spans="1:10" s="31" customFormat="1" x14ac:dyDescent="0.4">
      <c r="A64" s="38">
        <v>43848</v>
      </c>
      <c r="B64" s="31" t="s">
        <v>237</v>
      </c>
      <c r="C64" s="39">
        <v>7695</v>
      </c>
      <c r="E64" s="39">
        <v>7695</v>
      </c>
      <c r="F64" s="31" t="s">
        <v>80</v>
      </c>
      <c r="H64" s="39">
        <v>7695</v>
      </c>
      <c r="J64" s="31" t="s">
        <v>81</v>
      </c>
    </row>
    <row r="65" spans="1:10" s="31" customFormat="1" x14ac:dyDescent="0.4">
      <c r="A65" s="38">
        <v>43850</v>
      </c>
      <c r="B65" s="31" t="s">
        <v>79</v>
      </c>
      <c r="C65" s="39">
        <v>5000</v>
      </c>
      <c r="E65" s="39">
        <v>5000</v>
      </c>
      <c r="F65" s="31" t="s">
        <v>80</v>
      </c>
      <c r="H65" s="39">
        <v>5000</v>
      </c>
      <c r="J65" s="31" t="s">
        <v>81</v>
      </c>
    </row>
    <row r="66" spans="1:10" s="31" customFormat="1" x14ac:dyDescent="0.4">
      <c r="A66" s="38">
        <v>43855</v>
      </c>
      <c r="B66" s="31" t="s">
        <v>237</v>
      </c>
      <c r="C66" s="39">
        <v>11506</v>
      </c>
      <c r="E66" s="39">
        <v>11506</v>
      </c>
      <c r="F66" s="31" t="s">
        <v>80</v>
      </c>
      <c r="H66" s="39">
        <v>11506</v>
      </c>
      <c r="J66" s="31" t="s">
        <v>81</v>
      </c>
    </row>
    <row r="67" spans="1:10" s="31" customFormat="1" x14ac:dyDescent="0.4">
      <c r="A67" s="38">
        <v>43855</v>
      </c>
      <c r="B67" s="31" t="s">
        <v>243</v>
      </c>
      <c r="C67" s="39">
        <v>15440</v>
      </c>
      <c r="E67" s="39">
        <v>15440</v>
      </c>
      <c r="F67" s="31" t="s">
        <v>80</v>
      </c>
      <c r="H67" s="39">
        <v>15440</v>
      </c>
      <c r="J67" s="31" t="s">
        <v>81</v>
      </c>
    </row>
    <row r="68" spans="1:10" s="31" customFormat="1" x14ac:dyDescent="0.4">
      <c r="A68" s="38">
        <v>43857</v>
      </c>
      <c r="B68" s="31" t="s">
        <v>79</v>
      </c>
      <c r="C68" s="39">
        <v>5000</v>
      </c>
      <c r="E68" s="39">
        <v>5000</v>
      </c>
      <c r="F68" s="31" t="s">
        <v>80</v>
      </c>
      <c r="H68" s="39">
        <v>5000</v>
      </c>
      <c r="J68" s="31" t="s">
        <v>81</v>
      </c>
    </row>
    <row r="69" spans="1:10" s="31" customFormat="1" x14ac:dyDescent="0.4">
      <c r="A69" s="38">
        <v>43857</v>
      </c>
      <c r="B69" s="31" t="s">
        <v>238</v>
      </c>
      <c r="C69" s="31">
        <v>380</v>
      </c>
      <c r="E69" s="31">
        <v>380</v>
      </c>
      <c r="F69" s="31" t="s">
        <v>80</v>
      </c>
      <c r="H69" s="31">
        <v>380</v>
      </c>
      <c r="J69" s="31" t="s">
        <v>81</v>
      </c>
    </row>
    <row r="70" spans="1:10" s="31" customFormat="1" x14ac:dyDescent="0.4">
      <c r="A70" s="38">
        <v>43859</v>
      </c>
      <c r="B70" s="31" t="s">
        <v>79</v>
      </c>
      <c r="C70" s="39">
        <v>5000</v>
      </c>
      <c r="E70" s="39">
        <v>5000</v>
      </c>
      <c r="F70" s="31" t="s">
        <v>80</v>
      </c>
      <c r="H70" s="39">
        <v>5000</v>
      </c>
      <c r="J70" s="31" t="s">
        <v>81</v>
      </c>
    </row>
    <row r="71" spans="1:10" s="31" customFormat="1" x14ac:dyDescent="0.4">
      <c r="A71" s="38">
        <v>43862</v>
      </c>
      <c r="B71" s="31" t="s">
        <v>91</v>
      </c>
      <c r="C71" s="39">
        <v>-1463</v>
      </c>
      <c r="E71" s="31">
        <v>0</v>
      </c>
      <c r="H71" s="31">
        <v>0</v>
      </c>
      <c r="J71" s="31" t="s">
        <v>81</v>
      </c>
    </row>
    <row r="72" spans="1:10" s="31" customFormat="1" x14ac:dyDescent="0.4">
      <c r="A72" s="38">
        <v>43862</v>
      </c>
      <c r="B72" s="31" t="s">
        <v>244</v>
      </c>
      <c r="C72" s="39">
        <v>7781</v>
      </c>
      <c r="E72" s="39">
        <v>7781</v>
      </c>
      <c r="F72" s="31" t="s">
        <v>80</v>
      </c>
      <c r="H72" s="39">
        <v>7781</v>
      </c>
      <c r="J72" s="31" t="s">
        <v>81</v>
      </c>
    </row>
    <row r="73" spans="1:10" s="31" customFormat="1" x14ac:dyDescent="0.4">
      <c r="A73" s="38">
        <v>43862</v>
      </c>
      <c r="B73" s="31" t="s">
        <v>82</v>
      </c>
      <c r="C73" s="39">
        <v>5275</v>
      </c>
      <c r="E73" s="39">
        <v>5275</v>
      </c>
      <c r="F73" s="31" t="s">
        <v>80</v>
      </c>
      <c r="H73" s="39">
        <v>5275</v>
      </c>
      <c r="J73" s="31" t="s">
        <v>81</v>
      </c>
    </row>
    <row r="74" spans="1:10" s="31" customFormat="1" x14ac:dyDescent="0.4">
      <c r="A74" s="38">
        <v>43864</v>
      </c>
      <c r="B74" s="31" t="s">
        <v>237</v>
      </c>
      <c r="C74" s="31">
        <v>141</v>
      </c>
      <c r="E74" s="31">
        <v>141</v>
      </c>
      <c r="F74" s="31" t="s">
        <v>80</v>
      </c>
      <c r="H74" s="31">
        <v>141</v>
      </c>
      <c r="J74" s="31" t="s">
        <v>81</v>
      </c>
    </row>
    <row r="75" spans="1:10" s="31" customFormat="1" x14ac:dyDescent="0.4">
      <c r="A75" s="38">
        <v>43867</v>
      </c>
      <c r="B75" s="31" t="s">
        <v>79</v>
      </c>
      <c r="C75" s="39">
        <v>5000</v>
      </c>
      <c r="E75" s="39">
        <v>5000</v>
      </c>
      <c r="F75" s="31" t="s">
        <v>80</v>
      </c>
      <c r="H75" s="39">
        <v>5000</v>
      </c>
      <c r="J75" s="31" t="s">
        <v>81</v>
      </c>
    </row>
    <row r="76" spans="1:10" s="31" customFormat="1" x14ac:dyDescent="0.4">
      <c r="A76" s="38">
        <v>43868</v>
      </c>
      <c r="B76" s="31" t="s">
        <v>237</v>
      </c>
      <c r="C76" s="31">
        <v>280</v>
      </c>
      <c r="E76" s="31">
        <v>280</v>
      </c>
      <c r="F76" s="31" t="s">
        <v>80</v>
      </c>
      <c r="H76" s="31">
        <v>280</v>
      </c>
      <c r="J76" s="31" t="s">
        <v>81</v>
      </c>
    </row>
    <row r="77" spans="1:10" s="31" customFormat="1" x14ac:dyDescent="0.4">
      <c r="A77" s="38">
        <v>43868</v>
      </c>
      <c r="B77" s="31" t="s">
        <v>245</v>
      </c>
      <c r="C77" s="31">
        <v>998</v>
      </c>
      <c r="E77" s="31">
        <v>998</v>
      </c>
      <c r="F77" s="31" t="s">
        <v>80</v>
      </c>
      <c r="H77" s="31">
        <v>998</v>
      </c>
      <c r="J77" s="31" t="s">
        <v>81</v>
      </c>
    </row>
    <row r="78" spans="1:10" s="31" customFormat="1" x14ac:dyDescent="0.4">
      <c r="A78" s="38">
        <v>43869</v>
      </c>
      <c r="B78" s="31" t="s">
        <v>246</v>
      </c>
      <c r="C78" s="31">
        <v>306</v>
      </c>
      <c r="E78" s="31">
        <v>306</v>
      </c>
      <c r="F78" s="31" t="s">
        <v>80</v>
      </c>
      <c r="H78" s="31">
        <v>306</v>
      </c>
      <c r="J78" s="31" t="s">
        <v>81</v>
      </c>
    </row>
    <row r="79" spans="1:10" s="31" customFormat="1" x14ac:dyDescent="0.4">
      <c r="A79" s="38">
        <v>43872</v>
      </c>
      <c r="B79" s="31" t="s">
        <v>244</v>
      </c>
      <c r="C79" s="39">
        <v>2859</v>
      </c>
      <c r="E79" s="39">
        <v>2859</v>
      </c>
      <c r="F79" s="31" t="s">
        <v>80</v>
      </c>
      <c r="H79" s="39">
        <v>2859</v>
      </c>
      <c r="J79" s="31" t="s">
        <v>81</v>
      </c>
    </row>
    <row r="80" spans="1:10" s="31" customFormat="1" x14ac:dyDescent="0.4">
      <c r="A80" s="38">
        <v>43874</v>
      </c>
      <c r="B80" s="31" t="s">
        <v>79</v>
      </c>
      <c r="C80" s="39">
        <v>5000</v>
      </c>
      <c r="E80" s="39">
        <v>5000</v>
      </c>
      <c r="F80" s="31" t="s">
        <v>80</v>
      </c>
      <c r="H80" s="39">
        <v>5000</v>
      </c>
      <c r="J80" s="31" t="s">
        <v>81</v>
      </c>
    </row>
    <row r="81" spans="1:10" s="31" customFormat="1" x14ac:dyDescent="0.4">
      <c r="A81" s="38">
        <v>43876</v>
      </c>
      <c r="B81" s="31" t="s">
        <v>244</v>
      </c>
      <c r="C81" s="39">
        <v>6759</v>
      </c>
      <c r="E81" s="39">
        <v>6759</v>
      </c>
      <c r="F81" s="31" t="s">
        <v>80</v>
      </c>
      <c r="H81" s="39">
        <v>6759</v>
      </c>
      <c r="J81" s="31" t="s">
        <v>81</v>
      </c>
    </row>
    <row r="82" spans="1:10" s="31" customFormat="1" x14ac:dyDescent="0.4">
      <c r="A82" s="38">
        <v>43877</v>
      </c>
      <c r="B82" s="31" t="s">
        <v>237</v>
      </c>
      <c r="C82" s="39">
        <v>1814</v>
      </c>
      <c r="E82" s="39">
        <v>1814</v>
      </c>
      <c r="F82" s="31" t="s">
        <v>80</v>
      </c>
      <c r="H82" s="39">
        <v>1814</v>
      </c>
      <c r="J82" s="31" t="s">
        <v>81</v>
      </c>
    </row>
    <row r="83" spans="1:10" s="31" customFormat="1" x14ac:dyDescent="0.4">
      <c r="A83" s="38">
        <v>43880</v>
      </c>
      <c r="B83" s="31" t="s">
        <v>79</v>
      </c>
      <c r="C83" s="39">
        <v>5000</v>
      </c>
      <c r="E83" s="39">
        <v>5000</v>
      </c>
      <c r="F83" s="31" t="s">
        <v>80</v>
      </c>
      <c r="H83" s="39">
        <v>5000</v>
      </c>
      <c r="J83" s="31" t="s">
        <v>81</v>
      </c>
    </row>
    <row r="84" spans="1:10" s="31" customFormat="1" x14ac:dyDescent="0.4">
      <c r="A84" s="38">
        <v>43880</v>
      </c>
      <c r="B84" s="31" t="s">
        <v>237</v>
      </c>
      <c r="C84" s="31">
        <v>998</v>
      </c>
      <c r="E84" s="31">
        <v>998</v>
      </c>
      <c r="F84" s="31" t="s">
        <v>80</v>
      </c>
      <c r="H84" s="31">
        <v>998</v>
      </c>
      <c r="J84" s="31" t="s">
        <v>81</v>
      </c>
    </row>
    <row r="85" spans="1:10" s="31" customFormat="1" x14ac:dyDescent="0.4">
      <c r="A85" s="38">
        <v>43883</v>
      </c>
      <c r="B85" s="31" t="s">
        <v>244</v>
      </c>
      <c r="C85" s="39">
        <v>14140</v>
      </c>
      <c r="E85" s="39">
        <v>14140</v>
      </c>
      <c r="F85" s="31" t="s">
        <v>80</v>
      </c>
      <c r="H85" s="39">
        <v>14140</v>
      </c>
      <c r="J85" s="31" t="s">
        <v>81</v>
      </c>
    </row>
    <row r="86" spans="1:10" s="31" customFormat="1" x14ac:dyDescent="0.4">
      <c r="A86" s="38">
        <v>43885</v>
      </c>
      <c r="B86" s="31" t="s">
        <v>247</v>
      </c>
      <c r="C86" s="39">
        <v>2698</v>
      </c>
      <c r="E86" s="39">
        <v>2698</v>
      </c>
      <c r="F86" s="31" t="s">
        <v>80</v>
      </c>
      <c r="H86" s="39">
        <v>2698</v>
      </c>
      <c r="J86" s="31" t="s">
        <v>81</v>
      </c>
    </row>
    <row r="87" spans="1:10" s="31" customFormat="1" x14ac:dyDescent="0.4">
      <c r="A87" s="38">
        <v>43885</v>
      </c>
      <c r="B87" s="31" t="s">
        <v>240</v>
      </c>
      <c r="C87" s="39">
        <v>3161</v>
      </c>
      <c r="E87" s="39">
        <v>3161</v>
      </c>
      <c r="F87" s="31" t="s">
        <v>80</v>
      </c>
      <c r="H87" s="39">
        <v>3161</v>
      </c>
      <c r="J87" s="31" t="s">
        <v>81</v>
      </c>
    </row>
    <row r="88" spans="1:10" s="31" customFormat="1" x14ac:dyDescent="0.4">
      <c r="A88" s="38">
        <v>43885</v>
      </c>
      <c r="B88" s="31" t="s">
        <v>247</v>
      </c>
      <c r="C88" s="39">
        <v>4304</v>
      </c>
      <c r="E88" s="39">
        <v>4304</v>
      </c>
      <c r="F88" s="31" t="s">
        <v>80</v>
      </c>
      <c r="H88" s="39">
        <v>4304</v>
      </c>
      <c r="J88" s="31" t="s">
        <v>81</v>
      </c>
    </row>
    <row r="89" spans="1:10" s="31" customFormat="1" x14ac:dyDescent="0.4">
      <c r="A89" s="38">
        <v>43885</v>
      </c>
      <c r="B89" s="31" t="s">
        <v>240</v>
      </c>
      <c r="C89" s="39">
        <v>5644</v>
      </c>
      <c r="E89" s="39">
        <v>5644</v>
      </c>
      <c r="F89" s="31" t="s">
        <v>80</v>
      </c>
      <c r="H89" s="39">
        <v>5644</v>
      </c>
      <c r="J89" s="31" t="s">
        <v>81</v>
      </c>
    </row>
    <row r="90" spans="1:10" s="31" customFormat="1" x14ac:dyDescent="0.4">
      <c r="A90" s="38">
        <v>43889</v>
      </c>
      <c r="B90" s="31" t="s">
        <v>79</v>
      </c>
      <c r="C90" s="39">
        <v>5000</v>
      </c>
      <c r="E90" s="39">
        <v>5000</v>
      </c>
      <c r="F90" s="31" t="s">
        <v>80</v>
      </c>
      <c r="H90" s="39">
        <v>5000</v>
      </c>
      <c r="J90" s="31" t="s">
        <v>81</v>
      </c>
    </row>
    <row r="91" spans="1:10" s="31" customFormat="1" x14ac:dyDescent="0.4">
      <c r="A91" s="38">
        <v>43890</v>
      </c>
      <c r="B91" s="31" t="s">
        <v>237</v>
      </c>
      <c r="C91" s="39">
        <v>7623</v>
      </c>
      <c r="E91" s="39">
        <v>7623</v>
      </c>
      <c r="F91" s="31" t="s">
        <v>80</v>
      </c>
      <c r="H91" s="39">
        <v>7623</v>
      </c>
      <c r="J91" s="31" t="s">
        <v>81</v>
      </c>
    </row>
    <row r="92" spans="1:10" s="31" customFormat="1" x14ac:dyDescent="0.4">
      <c r="A92" s="38">
        <v>43890</v>
      </c>
      <c r="B92" s="31" t="s">
        <v>244</v>
      </c>
      <c r="C92" s="39">
        <v>13584</v>
      </c>
      <c r="E92" s="39">
        <v>13584</v>
      </c>
      <c r="F92" s="31" t="s">
        <v>80</v>
      </c>
      <c r="H92" s="39">
        <v>13584</v>
      </c>
      <c r="J92" s="31" t="s">
        <v>81</v>
      </c>
    </row>
    <row r="93" spans="1:10" s="31" customFormat="1" x14ac:dyDescent="0.4">
      <c r="A93" s="38">
        <v>43891</v>
      </c>
      <c r="B93" s="31" t="s">
        <v>82</v>
      </c>
      <c r="C93" s="39">
        <v>5275</v>
      </c>
      <c r="E93" s="39">
        <v>5275</v>
      </c>
      <c r="F93" s="31" t="s">
        <v>80</v>
      </c>
      <c r="H93" s="39">
        <v>5275</v>
      </c>
      <c r="J93" s="31" t="s">
        <v>81</v>
      </c>
    </row>
    <row r="94" spans="1:10" s="31" customFormat="1" x14ac:dyDescent="0.4">
      <c r="A94" s="38">
        <v>43894</v>
      </c>
      <c r="B94" s="31" t="s">
        <v>237</v>
      </c>
      <c r="C94" s="31">
        <v>680</v>
      </c>
      <c r="E94" s="31">
        <v>680</v>
      </c>
      <c r="F94" s="31" t="s">
        <v>80</v>
      </c>
      <c r="H94" s="31">
        <v>680</v>
      </c>
      <c r="J94" s="31" t="s">
        <v>81</v>
      </c>
    </row>
    <row r="95" spans="1:10" s="31" customFormat="1" x14ac:dyDescent="0.4">
      <c r="A95" s="38">
        <v>43897</v>
      </c>
      <c r="B95" s="31" t="s">
        <v>238</v>
      </c>
      <c r="C95" s="39">
        <v>1381</v>
      </c>
      <c r="E95" s="39">
        <v>1381</v>
      </c>
      <c r="F95" s="31" t="s">
        <v>80</v>
      </c>
      <c r="H95" s="39">
        <v>1381</v>
      </c>
      <c r="J95" s="31" t="s">
        <v>81</v>
      </c>
    </row>
    <row r="96" spans="1:10" s="31" customFormat="1" x14ac:dyDescent="0.4">
      <c r="A96" s="38">
        <v>43897</v>
      </c>
      <c r="B96" s="31" t="s">
        <v>246</v>
      </c>
      <c r="C96" s="31">
        <v>306</v>
      </c>
      <c r="E96" s="31">
        <v>306</v>
      </c>
      <c r="F96" s="31" t="s">
        <v>80</v>
      </c>
      <c r="H96" s="31">
        <v>306</v>
      </c>
      <c r="J96" s="31" t="s">
        <v>81</v>
      </c>
    </row>
    <row r="97" spans="1:10" s="31" customFormat="1" x14ac:dyDescent="0.4">
      <c r="A97" s="38">
        <v>43897</v>
      </c>
      <c r="B97" s="31" t="s">
        <v>248</v>
      </c>
      <c r="C97" s="31">
        <v>636</v>
      </c>
      <c r="E97" s="31">
        <v>636</v>
      </c>
      <c r="F97" s="31" t="s">
        <v>80</v>
      </c>
      <c r="H97" s="31">
        <v>636</v>
      </c>
      <c r="J97" s="31" t="s">
        <v>81</v>
      </c>
    </row>
    <row r="98" spans="1:10" s="31" customFormat="1" x14ac:dyDescent="0.4">
      <c r="A98" s="38">
        <v>43897</v>
      </c>
      <c r="B98" s="31" t="s">
        <v>248</v>
      </c>
      <c r="C98" s="39">
        <v>7224</v>
      </c>
      <c r="E98" s="39">
        <v>7224</v>
      </c>
      <c r="F98" s="31" t="s">
        <v>80</v>
      </c>
      <c r="H98" s="39">
        <v>7224</v>
      </c>
      <c r="J98" s="31" t="s">
        <v>81</v>
      </c>
    </row>
    <row r="99" spans="1:10" s="31" customFormat="1" x14ac:dyDescent="0.4">
      <c r="A99" s="38">
        <v>43900</v>
      </c>
      <c r="B99" s="31" t="s">
        <v>249</v>
      </c>
      <c r="C99" s="39">
        <v>7550</v>
      </c>
      <c r="E99" s="39">
        <v>7550</v>
      </c>
      <c r="F99" s="31" t="s">
        <v>80</v>
      </c>
      <c r="H99" s="39">
        <v>7550</v>
      </c>
      <c r="J99" s="31" t="s">
        <v>81</v>
      </c>
    </row>
    <row r="100" spans="1:10" s="31" customFormat="1" x14ac:dyDescent="0.4">
      <c r="A100" s="38">
        <v>43901</v>
      </c>
      <c r="B100" s="31" t="s">
        <v>250</v>
      </c>
      <c r="C100" s="39">
        <v>10000</v>
      </c>
      <c r="E100" s="39">
        <v>10000</v>
      </c>
      <c r="F100" s="31" t="s">
        <v>80</v>
      </c>
      <c r="H100" s="39">
        <v>10000</v>
      </c>
      <c r="J100" s="31" t="s">
        <v>81</v>
      </c>
    </row>
    <row r="101" spans="1:10" s="31" customFormat="1" x14ac:dyDescent="0.4">
      <c r="A101" s="38">
        <v>43901</v>
      </c>
      <c r="B101" s="31" t="s">
        <v>250</v>
      </c>
      <c r="C101" s="39">
        <v>10000</v>
      </c>
      <c r="E101" s="39">
        <v>10000</v>
      </c>
      <c r="F101" s="31" t="s">
        <v>80</v>
      </c>
      <c r="H101" s="39">
        <v>10000</v>
      </c>
      <c r="J101" s="31" t="s">
        <v>81</v>
      </c>
    </row>
    <row r="102" spans="1:10" s="31" customFormat="1" x14ac:dyDescent="0.4">
      <c r="A102" s="38">
        <v>43904</v>
      </c>
      <c r="B102" s="31" t="s">
        <v>238</v>
      </c>
      <c r="C102" s="31">
        <v>768</v>
      </c>
      <c r="E102" s="31">
        <v>768</v>
      </c>
      <c r="F102" s="31" t="s">
        <v>80</v>
      </c>
      <c r="H102" s="31">
        <v>768</v>
      </c>
      <c r="J102" s="31" t="s">
        <v>81</v>
      </c>
    </row>
    <row r="103" spans="1:10" s="31" customFormat="1" x14ac:dyDescent="0.4">
      <c r="A103" s="38">
        <v>43904</v>
      </c>
      <c r="B103" s="31" t="s">
        <v>248</v>
      </c>
      <c r="C103" s="39">
        <v>12184</v>
      </c>
      <c r="E103" s="39">
        <v>12184</v>
      </c>
      <c r="F103" s="31" t="s">
        <v>80</v>
      </c>
      <c r="H103" s="39">
        <v>12184</v>
      </c>
      <c r="J103" s="31" t="s">
        <v>81</v>
      </c>
    </row>
    <row r="104" spans="1:10" s="31" customFormat="1" x14ac:dyDescent="0.4">
      <c r="A104" s="38">
        <v>43910</v>
      </c>
      <c r="B104" s="31" t="s">
        <v>238</v>
      </c>
      <c r="C104" s="31">
        <v>645</v>
      </c>
      <c r="E104" s="31">
        <v>645</v>
      </c>
      <c r="F104" s="31" t="s">
        <v>80</v>
      </c>
      <c r="H104" s="31">
        <v>645</v>
      </c>
      <c r="J104" s="31" t="s">
        <v>81</v>
      </c>
    </row>
    <row r="105" spans="1:10" s="31" customFormat="1" x14ac:dyDescent="0.4">
      <c r="A105" s="38">
        <v>43910</v>
      </c>
      <c r="B105" s="31" t="s">
        <v>248</v>
      </c>
      <c r="C105" s="39">
        <v>6185</v>
      </c>
      <c r="E105" s="39">
        <v>6185</v>
      </c>
      <c r="F105" s="31" t="s">
        <v>80</v>
      </c>
      <c r="H105" s="39">
        <v>6185</v>
      </c>
      <c r="J105" s="31" t="s">
        <v>81</v>
      </c>
    </row>
    <row r="106" spans="1:10" s="31" customFormat="1" x14ac:dyDescent="0.4">
      <c r="A106" s="38">
        <v>43912</v>
      </c>
      <c r="B106" s="31" t="s">
        <v>240</v>
      </c>
      <c r="C106" s="31">
        <v>580</v>
      </c>
      <c r="E106" s="31">
        <v>580</v>
      </c>
      <c r="F106" s="31" t="s">
        <v>80</v>
      </c>
      <c r="H106" s="31">
        <v>580</v>
      </c>
      <c r="J106" s="31" t="s">
        <v>81</v>
      </c>
    </row>
    <row r="107" spans="1:10" s="31" customFormat="1" x14ac:dyDescent="0.4">
      <c r="A107" s="38">
        <v>43912</v>
      </c>
      <c r="B107" s="31" t="s">
        <v>240</v>
      </c>
      <c r="C107" s="31">
        <v>680</v>
      </c>
      <c r="E107" s="31">
        <v>680</v>
      </c>
      <c r="F107" s="31" t="s">
        <v>80</v>
      </c>
      <c r="H107" s="31">
        <v>680</v>
      </c>
      <c r="J107" s="31" t="s">
        <v>81</v>
      </c>
    </row>
    <row r="108" spans="1:10" s="31" customFormat="1" x14ac:dyDescent="0.4">
      <c r="A108" s="38">
        <v>43912</v>
      </c>
      <c r="B108" s="31" t="s">
        <v>248</v>
      </c>
      <c r="C108" s="39">
        <v>6357</v>
      </c>
      <c r="E108" s="39">
        <v>6357</v>
      </c>
      <c r="F108" s="31" t="s">
        <v>80</v>
      </c>
      <c r="H108" s="39">
        <v>6357</v>
      </c>
      <c r="J108" s="31" t="s">
        <v>81</v>
      </c>
    </row>
    <row r="109" spans="1:10" s="31" customFormat="1" x14ac:dyDescent="0.4">
      <c r="A109" s="38">
        <v>43918</v>
      </c>
      <c r="B109" s="31" t="s">
        <v>238</v>
      </c>
      <c r="C109" s="39">
        <v>2316</v>
      </c>
      <c r="E109" s="39">
        <v>2316</v>
      </c>
      <c r="F109" s="31" t="s">
        <v>80</v>
      </c>
      <c r="H109" s="39">
        <v>2316</v>
      </c>
      <c r="J109" s="31" t="s">
        <v>81</v>
      </c>
    </row>
    <row r="110" spans="1:10" s="31" customFormat="1" x14ac:dyDescent="0.4">
      <c r="A110" s="38">
        <v>43918</v>
      </c>
      <c r="B110" s="31" t="s">
        <v>248</v>
      </c>
      <c r="C110" s="39">
        <v>9038</v>
      </c>
      <c r="E110" s="39">
        <v>9038</v>
      </c>
      <c r="F110" s="31" t="s">
        <v>80</v>
      </c>
      <c r="H110" s="39">
        <v>9038</v>
      </c>
      <c r="J110" s="31" t="s">
        <v>81</v>
      </c>
    </row>
    <row r="111" spans="1:10" s="31" customFormat="1" x14ac:dyDescent="0.4">
      <c r="A111" s="38">
        <v>43918</v>
      </c>
      <c r="B111" s="31" t="s">
        <v>240</v>
      </c>
      <c r="C111" s="39">
        <v>2177</v>
      </c>
      <c r="E111" s="39">
        <v>2177</v>
      </c>
      <c r="F111" s="31" t="s">
        <v>80</v>
      </c>
      <c r="H111" s="39">
        <v>2177</v>
      </c>
      <c r="J111" s="31" t="s">
        <v>81</v>
      </c>
    </row>
    <row r="112" spans="1:10" s="31" customFormat="1" x14ac:dyDescent="0.4">
      <c r="A112" s="38">
        <v>43919</v>
      </c>
      <c r="B112" s="31" t="s">
        <v>240</v>
      </c>
      <c r="C112" s="31">
        <v>213</v>
      </c>
      <c r="E112" s="31">
        <v>213</v>
      </c>
      <c r="F112" s="31" t="s">
        <v>80</v>
      </c>
      <c r="H112" s="31">
        <v>213</v>
      </c>
      <c r="J112" s="31" t="s">
        <v>81</v>
      </c>
    </row>
    <row r="113" spans="1:10" s="31" customFormat="1" x14ac:dyDescent="0.4">
      <c r="A113" s="38">
        <v>43919</v>
      </c>
      <c r="B113" s="31" t="s">
        <v>240</v>
      </c>
      <c r="C113" s="31">
        <v>300</v>
      </c>
      <c r="E113" s="31">
        <v>300</v>
      </c>
      <c r="F113" s="31" t="s">
        <v>80</v>
      </c>
      <c r="H113" s="31">
        <v>300</v>
      </c>
      <c r="J113" s="31" t="s">
        <v>81</v>
      </c>
    </row>
    <row r="114" spans="1:10" s="31" customFormat="1" x14ac:dyDescent="0.4">
      <c r="A114" s="38">
        <v>43922</v>
      </c>
      <c r="B114" s="31" t="s">
        <v>91</v>
      </c>
      <c r="C114" s="31">
        <v>-377</v>
      </c>
      <c r="E114" s="31">
        <v>0</v>
      </c>
      <c r="H114" s="31">
        <v>0</v>
      </c>
      <c r="J114" s="31" t="s">
        <v>81</v>
      </c>
    </row>
    <row r="115" spans="1:10" s="31" customFormat="1" x14ac:dyDescent="0.4">
      <c r="A115" s="38">
        <v>43922</v>
      </c>
      <c r="B115" s="31" t="s">
        <v>82</v>
      </c>
      <c r="C115" s="39">
        <v>5275</v>
      </c>
      <c r="E115" s="39">
        <v>5275</v>
      </c>
      <c r="F115" s="31" t="s">
        <v>80</v>
      </c>
      <c r="H115" s="39">
        <v>5275</v>
      </c>
      <c r="J115" s="31" t="s">
        <v>81</v>
      </c>
    </row>
    <row r="116" spans="1:10" s="31" customFormat="1" x14ac:dyDescent="0.4">
      <c r="A116" s="38">
        <v>43925</v>
      </c>
      <c r="B116" s="31" t="s">
        <v>240</v>
      </c>
      <c r="C116" s="39">
        <v>2208</v>
      </c>
      <c r="E116" s="39">
        <v>2208</v>
      </c>
      <c r="F116" s="31" t="s">
        <v>80</v>
      </c>
      <c r="H116" s="39">
        <v>2208</v>
      </c>
      <c r="J116" s="31" t="s">
        <v>81</v>
      </c>
    </row>
    <row r="117" spans="1:10" s="31" customFormat="1" x14ac:dyDescent="0.4">
      <c r="A117" s="38">
        <v>43925</v>
      </c>
      <c r="B117" s="31" t="s">
        <v>237</v>
      </c>
      <c r="C117" s="39">
        <v>7331</v>
      </c>
      <c r="E117" s="39">
        <v>7331</v>
      </c>
      <c r="F117" s="31" t="s">
        <v>80</v>
      </c>
      <c r="H117" s="39">
        <v>7331</v>
      </c>
      <c r="J117" s="31" t="s">
        <v>81</v>
      </c>
    </row>
    <row r="118" spans="1:10" s="31" customFormat="1" x14ac:dyDescent="0.4">
      <c r="A118" s="38">
        <v>43925</v>
      </c>
      <c r="B118" s="31" t="s">
        <v>238</v>
      </c>
      <c r="C118" s="39">
        <v>6684</v>
      </c>
      <c r="E118" s="39">
        <v>6684</v>
      </c>
      <c r="F118" s="31" t="s">
        <v>80</v>
      </c>
      <c r="H118" s="39">
        <v>6684</v>
      </c>
      <c r="J118" s="31" t="s">
        <v>81</v>
      </c>
    </row>
    <row r="119" spans="1:10" s="31" customFormat="1" x14ac:dyDescent="0.4">
      <c r="A119" s="38">
        <v>43930</v>
      </c>
      <c r="B119" s="31" t="s">
        <v>244</v>
      </c>
      <c r="C119" s="31">
        <v>10</v>
      </c>
      <c r="E119" s="31">
        <v>10</v>
      </c>
      <c r="F119" s="31" t="s">
        <v>80</v>
      </c>
      <c r="H119" s="31">
        <v>10</v>
      </c>
      <c r="J119" s="31" t="s">
        <v>81</v>
      </c>
    </row>
    <row r="120" spans="1:10" s="31" customFormat="1" x14ac:dyDescent="0.4">
      <c r="A120" s="38">
        <v>43930</v>
      </c>
      <c r="B120" s="31" t="s">
        <v>244</v>
      </c>
      <c r="C120" s="31">
        <v>10</v>
      </c>
      <c r="E120" s="31">
        <v>10</v>
      </c>
      <c r="F120" s="31" t="s">
        <v>80</v>
      </c>
      <c r="H120" s="31">
        <v>10</v>
      </c>
      <c r="J120" s="31" t="s">
        <v>81</v>
      </c>
    </row>
    <row r="121" spans="1:10" s="31" customFormat="1" x14ac:dyDescent="0.4">
      <c r="A121" s="38">
        <v>43930</v>
      </c>
      <c r="B121" s="31" t="s">
        <v>244</v>
      </c>
      <c r="C121" s="31">
        <v>10</v>
      </c>
      <c r="E121" s="31">
        <v>10</v>
      </c>
      <c r="F121" s="31" t="s">
        <v>80</v>
      </c>
      <c r="H121" s="31">
        <v>10</v>
      </c>
      <c r="J121" s="31" t="s">
        <v>81</v>
      </c>
    </row>
    <row r="122" spans="1:10" s="31" customFormat="1" x14ac:dyDescent="0.4">
      <c r="A122" s="38">
        <v>43930</v>
      </c>
      <c r="B122" s="31" t="s">
        <v>244</v>
      </c>
      <c r="C122" s="31">
        <v>10</v>
      </c>
      <c r="E122" s="31">
        <v>10</v>
      </c>
      <c r="F122" s="31" t="s">
        <v>80</v>
      </c>
      <c r="H122" s="31">
        <v>10</v>
      </c>
      <c r="J122" s="31" t="s">
        <v>81</v>
      </c>
    </row>
    <row r="123" spans="1:10" s="31" customFormat="1" x14ac:dyDescent="0.4">
      <c r="A123" s="38">
        <v>43930</v>
      </c>
      <c r="B123" s="31" t="s">
        <v>244</v>
      </c>
      <c r="C123" s="31">
        <v>10</v>
      </c>
      <c r="E123" s="31">
        <v>10</v>
      </c>
      <c r="F123" s="31" t="s">
        <v>80</v>
      </c>
      <c r="H123" s="31">
        <v>10</v>
      </c>
      <c r="J123" s="31" t="s">
        <v>81</v>
      </c>
    </row>
    <row r="124" spans="1:10" s="31" customFormat="1" x14ac:dyDescent="0.4">
      <c r="A124" s="38">
        <v>43930</v>
      </c>
      <c r="B124" s="31" t="s">
        <v>244</v>
      </c>
      <c r="C124" s="31">
        <v>10</v>
      </c>
      <c r="E124" s="31">
        <v>10</v>
      </c>
      <c r="F124" s="31" t="s">
        <v>80</v>
      </c>
      <c r="H124" s="31">
        <v>10</v>
      </c>
      <c r="J124" s="31" t="s">
        <v>81</v>
      </c>
    </row>
    <row r="125" spans="1:10" s="31" customFormat="1" x14ac:dyDescent="0.4">
      <c r="A125" s="38">
        <v>43930</v>
      </c>
      <c r="B125" s="31" t="s">
        <v>244</v>
      </c>
      <c r="C125" s="31">
        <v>10</v>
      </c>
      <c r="E125" s="31">
        <v>10</v>
      </c>
      <c r="F125" s="31" t="s">
        <v>80</v>
      </c>
      <c r="H125" s="31">
        <v>10</v>
      </c>
      <c r="J125" s="31" t="s">
        <v>81</v>
      </c>
    </row>
    <row r="126" spans="1:10" s="31" customFormat="1" x14ac:dyDescent="0.4">
      <c r="A126" s="38">
        <v>43930</v>
      </c>
      <c r="B126" s="31" t="s">
        <v>244</v>
      </c>
      <c r="C126" s="31">
        <v>10</v>
      </c>
      <c r="E126" s="31">
        <v>10</v>
      </c>
      <c r="F126" s="31" t="s">
        <v>80</v>
      </c>
      <c r="H126" s="31">
        <v>10</v>
      </c>
      <c r="J126" s="31" t="s">
        <v>81</v>
      </c>
    </row>
    <row r="127" spans="1:10" s="31" customFormat="1" x14ac:dyDescent="0.4">
      <c r="A127" s="38">
        <v>43930</v>
      </c>
      <c r="B127" s="31" t="s">
        <v>244</v>
      </c>
      <c r="C127" s="31">
        <v>10</v>
      </c>
      <c r="E127" s="31">
        <v>10</v>
      </c>
      <c r="F127" s="31" t="s">
        <v>80</v>
      </c>
      <c r="H127" s="31">
        <v>10</v>
      </c>
      <c r="J127" s="31" t="s">
        <v>81</v>
      </c>
    </row>
    <row r="128" spans="1:10" s="31" customFormat="1" x14ac:dyDescent="0.4">
      <c r="A128" s="38">
        <v>43932</v>
      </c>
      <c r="B128" s="31" t="s">
        <v>240</v>
      </c>
      <c r="C128" s="31">
        <v>277</v>
      </c>
      <c r="E128" s="31">
        <v>277</v>
      </c>
      <c r="F128" s="31" t="s">
        <v>80</v>
      </c>
      <c r="H128" s="31">
        <v>277</v>
      </c>
      <c r="J128" s="31" t="s">
        <v>81</v>
      </c>
    </row>
    <row r="129" spans="1:10" s="31" customFormat="1" x14ac:dyDescent="0.4">
      <c r="A129" s="38">
        <v>43932</v>
      </c>
      <c r="B129" s="31" t="s">
        <v>240</v>
      </c>
      <c r="C129" s="39">
        <v>11252</v>
      </c>
      <c r="E129" s="39">
        <v>11252</v>
      </c>
      <c r="F129" s="31" t="s">
        <v>80</v>
      </c>
      <c r="H129" s="39">
        <v>11252</v>
      </c>
      <c r="J129" s="31" t="s">
        <v>81</v>
      </c>
    </row>
    <row r="130" spans="1:10" s="31" customFormat="1" x14ac:dyDescent="0.4">
      <c r="A130" s="38">
        <v>43932</v>
      </c>
      <c r="B130" s="31" t="s">
        <v>237</v>
      </c>
      <c r="C130" s="39">
        <v>8649</v>
      </c>
      <c r="E130" s="39">
        <v>8649</v>
      </c>
      <c r="F130" s="31" t="s">
        <v>80</v>
      </c>
      <c r="H130" s="39">
        <v>8649</v>
      </c>
      <c r="J130" s="31" t="s">
        <v>81</v>
      </c>
    </row>
    <row r="131" spans="1:10" s="31" customFormat="1" x14ac:dyDescent="0.4">
      <c r="A131" s="38">
        <v>43936</v>
      </c>
      <c r="B131" s="31" t="s">
        <v>244</v>
      </c>
      <c r="C131" s="31">
        <v>100</v>
      </c>
      <c r="E131" s="31">
        <v>100</v>
      </c>
      <c r="F131" s="31" t="s">
        <v>80</v>
      </c>
      <c r="H131" s="31">
        <v>100</v>
      </c>
      <c r="J131" s="31" t="s">
        <v>81</v>
      </c>
    </row>
    <row r="132" spans="1:10" s="31" customFormat="1" x14ac:dyDescent="0.4">
      <c r="A132" s="38">
        <v>43936</v>
      </c>
      <c r="B132" s="31" t="s">
        <v>251</v>
      </c>
      <c r="C132" s="39">
        <v>1197</v>
      </c>
      <c r="E132" s="39">
        <v>1197</v>
      </c>
      <c r="F132" s="31" t="s">
        <v>80</v>
      </c>
      <c r="H132" s="39">
        <v>1197</v>
      </c>
      <c r="J132" s="31" t="s">
        <v>81</v>
      </c>
    </row>
    <row r="133" spans="1:10" s="31" customFormat="1" x14ac:dyDescent="0.4">
      <c r="A133" s="38">
        <v>43937</v>
      </c>
      <c r="B133" s="31" t="s">
        <v>241</v>
      </c>
      <c r="C133" s="39">
        <v>3370</v>
      </c>
      <c r="E133" s="39">
        <v>3370</v>
      </c>
      <c r="F133" s="31" t="s">
        <v>80</v>
      </c>
      <c r="H133" s="39">
        <v>3370</v>
      </c>
      <c r="J133" s="31" t="s">
        <v>81</v>
      </c>
    </row>
    <row r="134" spans="1:10" s="31" customFormat="1" x14ac:dyDescent="0.4">
      <c r="A134" s="38">
        <v>43938</v>
      </c>
      <c r="B134" s="31" t="s">
        <v>246</v>
      </c>
      <c r="C134" s="31">
        <v>306</v>
      </c>
      <c r="E134" s="31">
        <v>306</v>
      </c>
      <c r="F134" s="31" t="s">
        <v>80</v>
      </c>
      <c r="H134" s="31">
        <v>306</v>
      </c>
      <c r="J134" s="31" t="s">
        <v>81</v>
      </c>
    </row>
    <row r="135" spans="1:10" s="31" customFormat="1" x14ac:dyDescent="0.4">
      <c r="A135" s="38">
        <v>43939</v>
      </c>
      <c r="B135" s="31" t="s">
        <v>237</v>
      </c>
      <c r="C135" s="39">
        <v>12127</v>
      </c>
      <c r="E135" s="39">
        <v>12127</v>
      </c>
      <c r="F135" s="31" t="s">
        <v>80</v>
      </c>
      <c r="H135" s="39">
        <v>12127</v>
      </c>
      <c r="J135" s="31" t="s">
        <v>81</v>
      </c>
    </row>
    <row r="136" spans="1:10" s="31" customFormat="1" x14ac:dyDescent="0.4">
      <c r="A136" s="38">
        <v>43942</v>
      </c>
      <c r="B136" s="31" t="s">
        <v>244</v>
      </c>
      <c r="C136" s="31">
        <v>50</v>
      </c>
      <c r="E136" s="31">
        <v>50</v>
      </c>
      <c r="F136" s="31" t="s">
        <v>80</v>
      </c>
      <c r="H136" s="31">
        <v>50</v>
      </c>
      <c r="J136" s="31" t="s">
        <v>81</v>
      </c>
    </row>
    <row r="137" spans="1:10" s="31" customFormat="1" x14ac:dyDescent="0.4">
      <c r="A137" s="38">
        <v>43945</v>
      </c>
      <c r="B137" s="31" t="s">
        <v>240</v>
      </c>
      <c r="C137" s="39">
        <v>7096</v>
      </c>
      <c r="E137" s="39">
        <v>7096</v>
      </c>
      <c r="F137" s="31" t="s">
        <v>80</v>
      </c>
      <c r="H137" s="39">
        <v>7096</v>
      </c>
      <c r="J137" s="31" t="s">
        <v>81</v>
      </c>
    </row>
    <row r="138" spans="1:10" s="31" customFormat="1" x14ac:dyDescent="0.4">
      <c r="A138" s="38">
        <v>43946</v>
      </c>
      <c r="B138" s="31" t="s">
        <v>252</v>
      </c>
      <c r="C138" s="39">
        <v>1910</v>
      </c>
      <c r="E138" s="39">
        <v>1910</v>
      </c>
      <c r="F138" s="31" t="s">
        <v>80</v>
      </c>
      <c r="H138" s="39">
        <v>1910</v>
      </c>
      <c r="J138" s="31" t="s">
        <v>81</v>
      </c>
    </row>
    <row r="139" spans="1:10" s="31" customFormat="1" x14ac:dyDescent="0.4">
      <c r="A139" s="38">
        <v>43946</v>
      </c>
      <c r="B139" s="31" t="s">
        <v>237</v>
      </c>
      <c r="C139" s="39">
        <v>10747</v>
      </c>
      <c r="E139" s="39">
        <v>10747</v>
      </c>
      <c r="F139" s="31" t="s">
        <v>80</v>
      </c>
      <c r="H139" s="39">
        <v>10747</v>
      </c>
      <c r="J139" s="31" t="s">
        <v>81</v>
      </c>
    </row>
    <row r="140" spans="1:10" s="31" customFormat="1" x14ac:dyDescent="0.4">
      <c r="A140" s="38">
        <v>43946</v>
      </c>
      <c r="B140" s="31" t="s">
        <v>248</v>
      </c>
      <c r="C140" s="39">
        <v>1141</v>
      </c>
      <c r="E140" s="39">
        <v>1141</v>
      </c>
      <c r="F140" s="31" t="s">
        <v>80</v>
      </c>
      <c r="H140" s="39">
        <v>1141</v>
      </c>
      <c r="J140" s="31" t="s">
        <v>81</v>
      </c>
    </row>
    <row r="141" spans="1:10" s="31" customFormat="1" x14ac:dyDescent="0.4">
      <c r="A141" s="38">
        <v>43948</v>
      </c>
      <c r="B141" s="31" t="s">
        <v>244</v>
      </c>
      <c r="C141" s="31">
        <v>640</v>
      </c>
      <c r="E141" s="31">
        <v>640</v>
      </c>
      <c r="F141" s="31" t="s">
        <v>80</v>
      </c>
      <c r="H141" s="31">
        <v>640</v>
      </c>
      <c r="J141" s="31" t="s">
        <v>81</v>
      </c>
    </row>
    <row r="142" spans="1:10" s="31" customFormat="1" x14ac:dyDescent="0.4">
      <c r="A142" s="38">
        <v>43952</v>
      </c>
      <c r="B142" s="31" t="s">
        <v>91</v>
      </c>
      <c r="C142" s="31">
        <v>-392</v>
      </c>
      <c r="E142" s="31">
        <v>0</v>
      </c>
      <c r="H142" s="31">
        <v>0</v>
      </c>
      <c r="J142" s="31" t="s">
        <v>81</v>
      </c>
    </row>
    <row r="143" spans="1:10" s="31" customFormat="1" x14ac:dyDescent="0.4">
      <c r="A143" s="38">
        <v>43952</v>
      </c>
      <c r="B143" s="31" t="s">
        <v>82</v>
      </c>
      <c r="C143" s="39">
        <v>5275</v>
      </c>
      <c r="E143" s="39">
        <v>5275</v>
      </c>
      <c r="F143" s="31" t="s">
        <v>80</v>
      </c>
      <c r="H143" s="39">
        <v>5275</v>
      </c>
      <c r="J143" s="31" t="s">
        <v>81</v>
      </c>
    </row>
    <row r="144" spans="1:10" s="31" customFormat="1" x14ac:dyDescent="0.4">
      <c r="A144" s="38">
        <v>43953</v>
      </c>
      <c r="B144" s="31" t="s">
        <v>77</v>
      </c>
      <c r="C144" s="39">
        <v>8327</v>
      </c>
      <c r="E144" s="39">
        <v>8327</v>
      </c>
      <c r="F144" s="31" t="s">
        <v>80</v>
      </c>
      <c r="H144" s="39">
        <v>8327</v>
      </c>
      <c r="J144" s="31" t="s">
        <v>81</v>
      </c>
    </row>
    <row r="145" spans="1:10" s="31" customFormat="1" x14ac:dyDescent="0.4">
      <c r="A145" s="38">
        <v>43960</v>
      </c>
      <c r="B145" s="31" t="s">
        <v>237</v>
      </c>
      <c r="C145" s="31">
        <v>852</v>
      </c>
      <c r="E145" s="31">
        <v>852</v>
      </c>
      <c r="F145" s="31" t="s">
        <v>80</v>
      </c>
      <c r="H145" s="31">
        <v>852</v>
      </c>
      <c r="J145" s="31" t="s">
        <v>81</v>
      </c>
    </row>
    <row r="146" spans="1:10" s="31" customFormat="1" x14ac:dyDescent="0.4">
      <c r="A146" s="38">
        <v>43960</v>
      </c>
      <c r="B146" s="31" t="s">
        <v>238</v>
      </c>
      <c r="C146" s="39">
        <v>8001</v>
      </c>
      <c r="E146" s="39">
        <v>8001</v>
      </c>
      <c r="F146" s="31" t="s">
        <v>80</v>
      </c>
      <c r="H146" s="39">
        <v>8001</v>
      </c>
      <c r="J146" s="31" t="s">
        <v>81</v>
      </c>
    </row>
    <row r="147" spans="1:10" s="31" customFormat="1" x14ac:dyDescent="0.4">
      <c r="A147" s="38">
        <v>43962</v>
      </c>
      <c r="B147" s="31" t="s">
        <v>244</v>
      </c>
      <c r="C147" s="31">
        <v>160</v>
      </c>
      <c r="E147" s="31">
        <v>160</v>
      </c>
      <c r="F147" s="31" t="s">
        <v>80</v>
      </c>
      <c r="H147" s="31">
        <v>160</v>
      </c>
      <c r="J147" s="31" t="s">
        <v>81</v>
      </c>
    </row>
    <row r="148" spans="1:10" s="31" customFormat="1" x14ac:dyDescent="0.4">
      <c r="A148" s="38">
        <v>43963</v>
      </c>
      <c r="B148" s="31" t="s">
        <v>251</v>
      </c>
      <c r="C148" s="39">
        <v>6038</v>
      </c>
      <c r="E148" s="39">
        <v>6038</v>
      </c>
      <c r="F148" s="31" t="s">
        <v>80</v>
      </c>
      <c r="H148" s="39">
        <v>6038</v>
      </c>
      <c r="J148" s="31" t="s">
        <v>81</v>
      </c>
    </row>
    <row r="149" spans="1:10" s="31" customFormat="1" x14ac:dyDescent="0.4">
      <c r="A149" s="38">
        <v>43967</v>
      </c>
      <c r="B149" s="31" t="s">
        <v>237</v>
      </c>
      <c r="C149" s="39">
        <v>9783</v>
      </c>
      <c r="E149" s="39">
        <v>9783</v>
      </c>
      <c r="F149" s="31" t="s">
        <v>80</v>
      </c>
      <c r="H149" s="39">
        <v>9783</v>
      </c>
      <c r="J149" s="31" t="s">
        <v>81</v>
      </c>
    </row>
    <row r="150" spans="1:10" s="31" customFormat="1" x14ac:dyDescent="0.4">
      <c r="A150" s="38">
        <v>43967</v>
      </c>
      <c r="B150" s="31" t="s">
        <v>238</v>
      </c>
      <c r="C150" s="39">
        <v>2296</v>
      </c>
      <c r="E150" s="39">
        <v>2296</v>
      </c>
      <c r="F150" s="31" t="s">
        <v>80</v>
      </c>
      <c r="H150" s="39">
        <v>2296</v>
      </c>
      <c r="J150" s="31" t="s">
        <v>81</v>
      </c>
    </row>
    <row r="151" spans="1:10" s="31" customFormat="1" x14ac:dyDescent="0.4">
      <c r="A151" s="38">
        <v>43967</v>
      </c>
      <c r="B151" s="31" t="s">
        <v>244</v>
      </c>
      <c r="C151" s="39">
        <v>11015</v>
      </c>
      <c r="E151" s="39">
        <v>11015</v>
      </c>
      <c r="F151" s="31" t="s">
        <v>80</v>
      </c>
      <c r="H151" s="39">
        <v>11015</v>
      </c>
      <c r="J151" s="31" t="s">
        <v>81</v>
      </c>
    </row>
    <row r="152" spans="1:10" s="31" customFormat="1" x14ac:dyDescent="0.4">
      <c r="A152" s="38">
        <v>43968</v>
      </c>
      <c r="B152" s="31" t="s">
        <v>246</v>
      </c>
      <c r="C152" s="39">
        <v>6578</v>
      </c>
      <c r="E152" s="39">
        <v>6578</v>
      </c>
      <c r="F152" s="31" t="s">
        <v>80</v>
      </c>
      <c r="H152" s="39">
        <v>6578</v>
      </c>
      <c r="J152" s="31" t="s">
        <v>81</v>
      </c>
    </row>
    <row r="153" spans="1:10" s="31" customFormat="1" x14ac:dyDescent="0.4">
      <c r="A153" s="38">
        <v>43974</v>
      </c>
      <c r="B153" s="31" t="s">
        <v>248</v>
      </c>
      <c r="C153" s="39">
        <v>1805</v>
      </c>
      <c r="E153" s="39">
        <v>1805</v>
      </c>
      <c r="F153" s="31" t="s">
        <v>80</v>
      </c>
      <c r="H153" s="39">
        <v>1805</v>
      </c>
      <c r="J153" s="31" t="s">
        <v>81</v>
      </c>
    </row>
    <row r="154" spans="1:10" s="31" customFormat="1" x14ac:dyDescent="0.4">
      <c r="A154" s="38">
        <v>43974</v>
      </c>
      <c r="B154" s="31" t="s">
        <v>237</v>
      </c>
      <c r="C154" s="39">
        <v>4443</v>
      </c>
      <c r="E154" s="39">
        <v>4443</v>
      </c>
      <c r="F154" s="31" t="s">
        <v>80</v>
      </c>
      <c r="H154" s="39">
        <v>4443</v>
      </c>
      <c r="J154" s="31" t="s">
        <v>81</v>
      </c>
    </row>
    <row r="155" spans="1:10" s="31" customFormat="1" x14ac:dyDescent="0.4">
      <c r="A155" s="38">
        <v>43976</v>
      </c>
      <c r="B155" s="31" t="s">
        <v>241</v>
      </c>
      <c r="C155" s="39">
        <v>1760</v>
      </c>
      <c r="E155" s="39">
        <v>1760</v>
      </c>
      <c r="F155" s="31" t="s">
        <v>80</v>
      </c>
      <c r="H155" s="39">
        <v>1760</v>
      </c>
      <c r="J155" s="31" t="s">
        <v>81</v>
      </c>
    </row>
    <row r="156" spans="1:10" s="31" customFormat="1" x14ac:dyDescent="0.4">
      <c r="A156" s="38">
        <v>43976</v>
      </c>
      <c r="B156" s="31" t="s">
        <v>251</v>
      </c>
      <c r="C156" s="39">
        <v>2392</v>
      </c>
      <c r="E156" s="39">
        <v>2392</v>
      </c>
      <c r="F156" s="31" t="s">
        <v>80</v>
      </c>
      <c r="H156" s="39">
        <v>2392</v>
      </c>
      <c r="J156" s="31" t="s">
        <v>81</v>
      </c>
    </row>
    <row r="157" spans="1:10" s="31" customFormat="1" x14ac:dyDescent="0.4">
      <c r="A157" s="38">
        <v>43976</v>
      </c>
      <c r="B157" s="31" t="s">
        <v>251</v>
      </c>
      <c r="C157" s="39">
        <v>2880</v>
      </c>
      <c r="E157" s="39">
        <v>2880</v>
      </c>
      <c r="F157" s="31" t="s">
        <v>80</v>
      </c>
      <c r="H157" s="39">
        <v>2880</v>
      </c>
      <c r="J157" s="31" t="s">
        <v>81</v>
      </c>
    </row>
    <row r="158" spans="1:10" s="31" customFormat="1" x14ac:dyDescent="0.4">
      <c r="A158" s="38">
        <v>43976</v>
      </c>
      <c r="B158" s="31" t="s">
        <v>251</v>
      </c>
      <c r="C158" s="39">
        <v>3136</v>
      </c>
      <c r="E158" s="39">
        <v>3136</v>
      </c>
      <c r="F158" s="31" t="s">
        <v>80</v>
      </c>
      <c r="H158" s="39">
        <v>3136</v>
      </c>
      <c r="J158" s="31" t="s">
        <v>81</v>
      </c>
    </row>
    <row r="159" spans="1:10" s="31" customFormat="1" x14ac:dyDescent="0.4">
      <c r="A159" s="38">
        <v>43976</v>
      </c>
      <c r="B159" s="31" t="s">
        <v>241</v>
      </c>
      <c r="C159" s="39">
        <v>7854</v>
      </c>
      <c r="E159" s="39">
        <v>7854</v>
      </c>
      <c r="F159" s="31" t="s">
        <v>80</v>
      </c>
      <c r="H159" s="39">
        <v>7854</v>
      </c>
      <c r="J159" s="31" t="s">
        <v>81</v>
      </c>
    </row>
    <row r="160" spans="1:10" s="31" customFormat="1" x14ac:dyDescent="0.4">
      <c r="A160" s="38">
        <v>43977</v>
      </c>
      <c r="B160" s="31" t="s">
        <v>208</v>
      </c>
      <c r="C160" s="39">
        <v>1343</v>
      </c>
      <c r="E160" s="39">
        <v>1343</v>
      </c>
      <c r="F160" s="31" t="s">
        <v>80</v>
      </c>
      <c r="H160" s="39">
        <v>1343</v>
      </c>
      <c r="J160" s="31" t="s">
        <v>81</v>
      </c>
    </row>
    <row r="161" spans="1:10" s="31" customFormat="1" x14ac:dyDescent="0.4">
      <c r="A161" s="38">
        <v>43981</v>
      </c>
      <c r="B161" s="31" t="s">
        <v>248</v>
      </c>
      <c r="C161" s="31">
        <v>534</v>
      </c>
      <c r="E161" s="31">
        <v>534</v>
      </c>
      <c r="F161" s="31" t="s">
        <v>80</v>
      </c>
      <c r="H161" s="31">
        <v>534</v>
      </c>
      <c r="J161" s="31" t="s">
        <v>81</v>
      </c>
    </row>
    <row r="162" spans="1:10" s="31" customFormat="1" x14ac:dyDescent="0.4">
      <c r="A162" s="38">
        <v>43981</v>
      </c>
      <c r="B162" s="31" t="s">
        <v>237</v>
      </c>
      <c r="C162" s="39">
        <v>14669</v>
      </c>
      <c r="E162" s="39">
        <v>14669</v>
      </c>
      <c r="F162" s="31" t="s">
        <v>80</v>
      </c>
      <c r="H162" s="39">
        <v>14669</v>
      </c>
      <c r="J162" s="31" t="s">
        <v>81</v>
      </c>
    </row>
    <row r="163" spans="1:10" s="31" customFormat="1" x14ac:dyDescent="0.4">
      <c r="A163" s="38">
        <v>43983</v>
      </c>
      <c r="B163" s="31" t="s">
        <v>91</v>
      </c>
      <c r="C163" s="31">
        <v>-550</v>
      </c>
      <c r="E163" s="31">
        <v>0</v>
      </c>
      <c r="H163" s="31">
        <v>0</v>
      </c>
      <c r="J163" s="31" t="s">
        <v>81</v>
      </c>
    </row>
    <row r="164" spans="1:10" s="31" customFormat="1" x14ac:dyDescent="0.4">
      <c r="A164" s="38">
        <v>43983</v>
      </c>
      <c r="B164" s="31" t="s">
        <v>82</v>
      </c>
      <c r="C164" s="39">
        <v>5275</v>
      </c>
      <c r="E164" s="39">
        <v>5275</v>
      </c>
      <c r="F164" s="31" t="s">
        <v>80</v>
      </c>
      <c r="H164" s="39">
        <v>5275</v>
      </c>
      <c r="J164" s="31" t="s">
        <v>81</v>
      </c>
    </row>
    <row r="165" spans="1:10" s="31" customFormat="1" x14ac:dyDescent="0.4">
      <c r="A165" s="38">
        <v>43986</v>
      </c>
      <c r="B165" s="31" t="s">
        <v>241</v>
      </c>
      <c r="C165" s="39">
        <v>2837</v>
      </c>
      <c r="E165" s="39">
        <v>2837</v>
      </c>
      <c r="F165" s="31" t="s">
        <v>80</v>
      </c>
      <c r="H165" s="39">
        <v>2837</v>
      </c>
      <c r="J165" s="31" t="s">
        <v>81</v>
      </c>
    </row>
    <row r="166" spans="1:10" s="31" customFormat="1" x14ac:dyDescent="0.4">
      <c r="A166" s="38">
        <v>43988</v>
      </c>
      <c r="B166" s="31" t="s">
        <v>77</v>
      </c>
      <c r="C166" s="39">
        <v>6565</v>
      </c>
      <c r="E166" s="39">
        <v>6565</v>
      </c>
      <c r="F166" s="31" t="s">
        <v>80</v>
      </c>
      <c r="H166" s="39">
        <v>6565</v>
      </c>
      <c r="J166" s="31" t="s">
        <v>81</v>
      </c>
    </row>
    <row r="167" spans="1:10" s="31" customFormat="1" x14ac:dyDescent="0.4">
      <c r="A167" s="38">
        <v>43988</v>
      </c>
      <c r="B167" s="31" t="s">
        <v>182</v>
      </c>
      <c r="C167" s="39">
        <v>1164</v>
      </c>
      <c r="E167" s="39">
        <v>1164</v>
      </c>
      <c r="F167" s="31" t="s">
        <v>80</v>
      </c>
      <c r="H167" s="39">
        <v>1164</v>
      </c>
      <c r="J167" s="31" t="s">
        <v>81</v>
      </c>
    </row>
    <row r="168" spans="1:10" s="31" customFormat="1" x14ac:dyDescent="0.4">
      <c r="A168" s="38">
        <v>43989</v>
      </c>
      <c r="B168" s="31" t="s">
        <v>194</v>
      </c>
      <c r="C168" s="39">
        <v>4392</v>
      </c>
      <c r="E168" s="39">
        <v>4392</v>
      </c>
      <c r="F168" s="31" t="s">
        <v>80</v>
      </c>
      <c r="H168" s="39">
        <v>4392</v>
      </c>
      <c r="J168" s="31" t="s">
        <v>81</v>
      </c>
    </row>
    <row r="169" spans="1:10" s="31" customFormat="1" x14ac:dyDescent="0.4">
      <c r="A169" s="38">
        <v>43992</v>
      </c>
      <c r="B169" s="31" t="s">
        <v>79</v>
      </c>
      <c r="C169" s="39">
        <v>5000</v>
      </c>
      <c r="E169" s="39">
        <v>5000</v>
      </c>
      <c r="F169" s="31" t="s">
        <v>80</v>
      </c>
      <c r="H169" s="39">
        <v>5000</v>
      </c>
      <c r="J169" s="31" t="s">
        <v>81</v>
      </c>
    </row>
    <row r="170" spans="1:10" s="31" customFormat="1" x14ac:dyDescent="0.4">
      <c r="A170" s="38">
        <v>43995</v>
      </c>
      <c r="B170" s="31" t="s">
        <v>77</v>
      </c>
      <c r="C170" s="39">
        <v>8739</v>
      </c>
      <c r="E170" s="39">
        <v>8739</v>
      </c>
      <c r="F170" s="31" t="s">
        <v>80</v>
      </c>
      <c r="H170" s="39">
        <v>8739</v>
      </c>
      <c r="J170" s="31" t="s">
        <v>81</v>
      </c>
    </row>
    <row r="171" spans="1:10" s="31" customFormat="1" x14ac:dyDescent="0.4">
      <c r="A171" s="38">
        <v>43999</v>
      </c>
      <c r="B171" s="31" t="s">
        <v>246</v>
      </c>
      <c r="C171" s="31">
        <v>306</v>
      </c>
      <c r="E171" s="31">
        <v>306</v>
      </c>
      <c r="F171" s="31" t="s">
        <v>80</v>
      </c>
      <c r="H171" s="31">
        <v>306</v>
      </c>
      <c r="J171" s="31" t="s">
        <v>81</v>
      </c>
    </row>
    <row r="172" spans="1:10" s="31" customFormat="1" x14ac:dyDescent="0.4">
      <c r="A172" s="38">
        <v>44002</v>
      </c>
      <c r="B172" s="31" t="s">
        <v>77</v>
      </c>
      <c r="C172" s="39">
        <v>10212</v>
      </c>
      <c r="E172" s="39">
        <v>10212</v>
      </c>
      <c r="F172" s="31" t="s">
        <v>80</v>
      </c>
      <c r="H172" s="39">
        <v>10212</v>
      </c>
      <c r="J172" s="31" t="s">
        <v>81</v>
      </c>
    </row>
    <row r="173" spans="1:10" s="31" customFormat="1" x14ac:dyDescent="0.4">
      <c r="A173" s="38">
        <v>44003</v>
      </c>
      <c r="B173" s="31" t="s">
        <v>253</v>
      </c>
      <c r="C173" s="39">
        <v>5000</v>
      </c>
      <c r="E173" s="39">
        <v>5000</v>
      </c>
      <c r="F173" s="31" t="s">
        <v>80</v>
      </c>
      <c r="H173" s="39">
        <v>5000</v>
      </c>
      <c r="J173" s="31" t="s">
        <v>81</v>
      </c>
    </row>
    <row r="174" spans="1:10" s="31" customFormat="1" x14ac:dyDescent="0.4">
      <c r="A174" s="38">
        <v>44006</v>
      </c>
      <c r="B174" s="31" t="s">
        <v>254</v>
      </c>
      <c r="C174" s="39">
        <v>5000</v>
      </c>
      <c r="E174" s="39">
        <v>5000</v>
      </c>
      <c r="F174" s="31" t="s">
        <v>80</v>
      </c>
      <c r="H174" s="39">
        <v>5000</v>
      </c>
      <c r="J174" s="31" t="s">
        <v>81</v>
      </c>
    </row>
    <row r="175" spans="1:10" s="31" customFormat="1" x14ac:dyDescent="0.4">
      <c r="A175" s="38">
        <v>44006</v>
      </c>
      <c r="B175" s="31" t="s">
        <v>254</v>
      </c>
      <c r="C175" s="39">
        <v>5000</v>
      </c>
      <c r="E175" s="39">
        <v>5000</v>
      </c>
      <c r="F175" s="31" t="s">
        <v>80</v>
      </c>
      <c r="H175" s="39">
        <v>5000</v>
      </c>
      <c r="J175" s="31" t="s">
        <v>81</v>
      </c>
    </row>
    <row r="176" spans="1:10" s="31" customFormat="1" x14ac:dyDescent="0.4">
      <c r="A176" s="38">
        <v>44008</v>
      </c>
      <c r="B176" s="31" t="s">
        <v>254</v>
      </c>
      <c r="C176" s="39">
        <v>5000</v>
      </c>
      <c r="E176" s="39">
        <v>5000</v>
      </c>
      <c r="F176" s="31" t="s">
        <v>80</v>
      </c>
      <c r="H176" s="39">
        <v>5000</v>
      </c>
      <c r="J176" s="31" t="s">
        <v>81</v>
      </c>
    </row>
    <row r="177" spans="1:10" s="31" customFormat="1" x14ac:dyDescent="0.4">
      <c r="A177" s="38">
        <v>44012</v>
      </c>
      <c r="B177" s="31" t="s">
        <v>251</v>
      </c>
      <c r="C177" s="39">
        <v>2114</v>
      </c>
      <c r="E177" s="39">
        <v>2114</v>
      </c>
      <c r="F177" s="31" t="s">
        <v>80</v>
      </c>
      <c r="H177" s="39">
        <v>2114</v>
      </c>
      <c r="J177" s="31" t="s">
        <v>81</v>
      </c>
    </row>
    <row r="178" spans="1:10" s="31" customFormat="1" x14ac:dyDescent="0.4">
      <c r="A178" s="38">
        <v>44013</v>
      </c>
      <c r="B178" s="31" t="s">
        <v>91</v>
      </c>
      <c r="C178" s="31">
        <v>-219</v>
      </c>
      <c r="E178" s="31">
        <v>0</v>
      </c>
      <c r="H178" s="31">
        <v>0</v>
      </c>
      <c r="J178" s="31" t="s">
        <v>81</v>
      </c>
    </row>
    <row r="179" spans="1:10" s="31" customFormat="1" x14ac:dyDescent="0.4">
      <c r="A179" s="38">
        <v>44013</v>
      </c>
      <c r="B179" s="31" t="s">
        <v>254</v>
      </c>
      <c r="C179" s="39">
        <v>5000</v>
      </c>
      <c r="E179" s="39">
        <v>5000</v>
      </c>
      <c r="F179" s="31" t="s">
        <v>80</v>
      </c>
      <c r="H179" s="39">
        <v>5000</v>
      </c>
      <c r="J179" s="31" t="s">
        <v>81</v>
      </c>
    </row>
    <row r="180" spans="1:10" s="31" customFormat="1" x14ac:dyDescent="0.4">
      <c r="A180" s="38">
        <v>44013</v>
      </c>
      <c r="B180" s="31" t="s">
        <v>82</v>
      </c>
      <c r="C180" s="39">
        <v>5275</v>
      </c>
      <c r="E180" s="39">
        <v>5275</v>
      </c>
      <c r="F180" s="31" t="s">
        <v>80</v>
      </c>
      <c r="H180" s="39">
        <v>5275</v>
      </c>
      <c r="J180" s="31" t="s">
        <v>81</v>
      </c>
    </row>
    <row r="181" spans="1:10" s="31" customFormat="1" x14ac:dyDescent="0.4">
      <c r="A181" s="38">
        <v>44016</v>
      </c>
      <c r="B181" s="31" t="s">
        <v>182</v>
      </c>
      <c r="C181" s="31">
        <v>519</v>
      </c>
      <c r="E181" s="31">
        <v>519</v>
      </c>
      <c r="F181" s="31" t="s">
        <v>80</v>
      </c>
      <c r="H181" s="31">
        <v>519</v>
      </c>
      <c r="J181" s="31" t="s">
        <v>81</v>
      </c>
    </row>
    <row r="182" spans="1:10" s="31" customFormat="1" x14ac:dyDescent="0.4">
      <c r="A182" s="38">
        <v>44016</v>
      </c>
      <c r="B182" s="31" t="s">
        <v>194</v>
      </c>
      <c r="C182" s="39">
        <v>7586</v>
      </c>
      <c r="E182" s="39">
        <v>7586</v>
      </c>
      <c r="F182" s="31" t="s">
        <v>80</v>
      </c>
      <c r="H182" s="39">
        <v>7586</v>
      </c>
      <c r="J182" s="31" t="s">
        <v>81</v>
      </c>
    </row>
    <row r="183" spans="1:10" s="31" customFormat="1" x14ac:dyDescent="0.4">
      <c r="A183" s="38">
        <v>44016</v>
      </c>
      <c r="B183" s="31" t="s">
        <v>255</v>
      </c>
      <c r="C183" s="39">
        <v>13717</v>
      </c>
      <c r="E183" s="39">
        <v>13717</v>
      </c>
      <c r="F183" s="31" t="s">
        <v>80</v>
      </c>
      <c r="H183" s="39">
        <v>13717</v>
      </c>
      <c r="J183" s="31" t="s">
        <v>81</v>
      </c>
    </row>
    <row r="184" spans="1:10" s="31" customFormat="1" x14ac:dyDescent="0.4">
      <c r="A184" s="38">
        <v>44018</v>
      </c>
      <c r="B184" s="31" t="s">
        <v>241</v>
      </c>
      <c r="C184" s="39">
        <v>4382</v>
      </c>
      <c r="E184" s="39">
        <v>4382</v>
      </c>
      <c r="F184" s="31" t="s">
        <v>80</v>
      </c>
      <c r="H184" s="39">
        <v>4382</v>
      </c>
      <c r="J184" s="31" t="s">
        <v>81</v>
      </c>
    </row>
    <row r="185" spans="1:10" s="31" customFormat="1" x14ac:dyDescent="0.4">
      <c r="A185" s="38">
        <v>44022</v>
      </c>
      <c r="B185" s="31" t="s">
        <v>194</v>
      </c>
      <c r="C185" s="39">
        <v>9454</v>
      </c>
      <c r="E185" s="39">
        <v>9454</v>
      </c>
      <c r="F185" s="31" t="s">
        <v>80</v>
      </c>
      <c r="H185" s="39">
        <v>9454</v>
      </c>
      <c r="J185" s="31" t="s">
        <v>81</v>
      </c>
    </row>
    <row r="186" spans="1:10" s="31" customFormat="1" x14ac:dyDescent="0.4">
      <c r="A186" s="38">
        <v>44024</v>
      </c>
      <c r="B186" s="31" t="s">
        <v>256</v>
      </c>
      <c r="C186" s="31">
        <v>412</v>
      </c>
      <c r="E186" s="31">
        <v>412</v>
      </c>
      <c r="F186" s="31" t="s">
        <v>80</v>
      </c>
      <c r="H186" s="31">
        <v>412</v>
      </c>
      <c r="J186" s="31" t="s">
        <v>81</v>
      </c>
    </row>
    <row r="187" spans="1:10" s="31" customFormat="1" x14ac:dyDescent="0.4">
      <c r="A187" s="38">
        <v>44024</v>
      </c>
      <c r="B187" s="31" t="s">
        <v>194</v>
      </c>
      <c r="C187" s="39">
        <v>6894</v>
      </c>
      <c r="E187" s="39">
        <v>6894</v>
      </c>
      <c r="F187" s="31" t="s">
        <v>80</v>
      </c>
      <c r="H187" s="39">
        <v>6894</v>
      </c>
      <c r="J187" s="31" t="s">
        <v>81</v>
      </c>
    </row>
    <row r="188" spans="1:10" s="31" customFormat="1" x14ac:dyDescent="0.4">
      <c r="A188" s="38">
        <v>44029</v>
      </c>
      <c r="B188" s="31" t="s">
        <v>249</v>
      </c>
      <c r="C188" s="39">
        <v>7086</v>
      </c>
      <c r="E188" s="39">
        <v>7086</v>
      </c>
      <c r="F188" s="31" t="s">
        <v>80</v>
      </c>
      <c r="H188" s="39">
        <v>7086</v>
      </c>
      <c r="J188" s="31" t="s">
        <v>81</v>
      </c>
    </row>
    <row r="189" spans="1:10" s="31" customFormat="1" x14ac:dyDescent="0.4">
      <c r="A189" s="38">
        <v>44030</v>
      </c>
      <c r="B189" s="31" t="s">
        <v>257</v>
      </c>
      <c r="C189" s="39">
        <v>2572</v>
      </c>
      <c r="E189" s="39">
        <v>2572</v>
      </c>
      <c r="F189" s="31" t="s">
        <v>80</v>
      </c>
      <c r="H189" s="39">
        <v>2572</v>
      </c>
      <c r="J189" s="31" t="s">
        <v>81</v>
      </c>
    </row>
    <row r="190" spans="1:10" s="31" customFormat="1" x14ac:dyDescent="0.4">
      <c r="A190" s="38">
        <v>44031</v>
      </c>
      <c r="B190" s="31" t="s">
        <v>256</v>
      </c>
      <c r="C190" s="31">
        <v>632</v>
      </c>
      <c r="E190" s="31">
        <v>632</v>
      </c>
      <c r="F190" s="31" t="s">
        <v>80</v>
      </c>
      <c r="H190" s="31">
        <v>632</v>
      </c>
      <c r="J190" s="31" t="s">
        <v>81</v>
      </c>
    </row>
    <row r="191" spans="1:10" s="31" customFormat="1" x14ac:dyDescent="0.4">
      <c r="A191" s="38">
        <v>44031</v>
      </c>
      <c r="B191" s="31" t="s">
        <v>89</v>
      </c>
      <c r="C191" s="39">
        <v>1109</v>
      </c>
      <c r="E191" s="39">
        <v>1109</v>
      </c>
      <c r="F191" s="31" t="s">
        <v>80</v>
      </c>
      <c r="H191" s="39">
        <v>1109</v>
      </c>
      <c r="J191" s="31" t="s">
        <v>81</v>
      </c>
    </row>
    <row r="192" spans="1:10" s="31" customFormat="1" x14ac:dyDescent="0.4">
      <c r="A192" s="38">
        <v>44031</v>
      </c>
      <c r="B192" s="31" t="s">
        <v>194</v>
      </c>
      <c r="C192" s="39">
        <v>6246</v>
      </c>
      <c r="E192" s="39">
        <v>6246</v>
      </c>
      <c r="F192" s="31" t="s">
        <v>80</v>
      </c>
      <c r="H192" s="39">
        <v>6246</v>
      </c>
      <c r="J192" s="31" t="s">
        <v>81</v>
      </c>
    </row>
    <row r="193" spans="1:10" s="31" customFormat="1" x14ac:dyDescent="0.4">
      <c r="A193" s="38">
        <v>44035</v>
      </c>
      <c r="B193" s="31" t="s">
        <v>194</v>
      </c>
      <c r="C193" s="39">
        <v>4080</v>
      </c>
      <c r="E193" s="39">
        <v>4080</v>
      </c>
      <c r="F193" s="31" t="s">
        <v>80</v>
      </c>
      <c r="H193" s="39">
        <v>4080</v>
      </c>
      <c r="J193" s="31" t="s">
        <v>81</v>
      </c>
    </row>
    <row r="194" spans="1:10" s="31" customFormat="1" x14ac:dyDescent="0.4">
      <c r="A194" s="38">
        <v>44036</v>
      </c>
      <c r="B194" s="31" t="s">
        <v>89</v>
      </c>
      <c r="C194" s="31">
        <v>825</v>
      </c>
      <c r="E194" s="31">
        <v>825</v>
      </c>
      <c r="F194" s="31" t="s">
        <v>80</v>
      </c>
      <c r="H194" s="31">
        <v>825</v>
      </c>
      <c r="J194" s="31" t="s">
        <v>81</v>
      </c>
    </row>
    <row r="195" spans="1:10" s="31" customFormat="1" x14ac:dyDescent="0.4">
      <c r="A195" s="38">
        <v>44037</v>
      </c>
      <c r="B195" s="31" t="s">
        <v>194</v>
      </c>
      <c r="C195" s="39">
        <v>8710</v>
      </c>
      <c r="E195" s="39">
        <v>8710</v>
      </c>
      <c r="F195" s="31" t="s">
        <v>80</v>
      </c>
      <c r="H195" s="39">
        <v>8710</v>
      </c>
      <c r="J195" s="31" t="s">
        <v>81</v>
      </c>
    </row>
    <row r="196" spans="1:10" s="31" customFormat="1" x14ac:dyDescent="0.4">
      <c r="A196" s="38">
        <v>44037</v>
      </c>
      <c r="B196" s="31" t="s">
        <v>77</v>
      </c>
      <c r="C196" s="39">
        <v>8506</v>
      </c>
      <c r="E196" s="39">
        <v>8506</v>
      </c>
      <c r="F196" s="31" t="s">
        <v>80</v>
      </c>
      <c r="H196" s="39">
        <v>8506</v>
      </c>
      <c r="J196" s="31" t="s">
        <v>81</v>
      </c>
    </row>
    <row r="197" spans="1:10" s="31" customFormat="1" x14ac:dyDescent="0.4">
      <c r="A197" s="38">
        <v>44041</v>
      </c>
      <c r="B197" s="31" t="s">
        <v>206</v>
      </c>
      <c r="C197" s="39">
        <v>65480</v>
      </c>
      <c r="E197" s="39">
        <v>65480</v>
      </c>
      <c r="F197" s="31" t="s">
        <v>80</v>
      </c>
      <c r="H197" s="39">
        <v>65480</v>
      </c>
      <c r="J197" s="31" t="s">
        <v>81</v>
      </c>
    </row>
    <row r="198" spans="1:10" s="31" customFormat="1" x14ac:dyDescent="0.4">
      <c r="A198" s="38">
        <v>44041</v>
      </c>
      <c r="B198" s="31" t="s">
        <v>251</v>
      </c>
      <c r="C198" s="31">
        <v>850</v>
      </c>
      <c r="E198" s="31">
        <v>850</v>
      </c>
      <c r="F198" s="31" t="s">
        <v>80</v>
      </c>
      <c r="H198" s="31">
        <v>850</v>
      </c>
      <c r="J198" s="31" t="s">
        <v>81</v>
      </c>
    </row>
    <row r="199" spans="1:10" s="31" customFormat="1" x14ac:dyDescent="0.4">
      <c r="A199" s="38">
        <v>44041</v>
      </c>
      <c r="B199" s="31" t="s">
        <v>89</v>
      </c>
      <c r="C199" s="39">
        <v>1100</v>
      </c>
      <c r="E199" s="39">
        <v>1100</v>
      </c>
      <c r="F199" s="31" t="s">
        <v>80</v>
      </c>
      <c r="H199" s="39">
        <v>1100</v>
      </c>
      <c r="J199" s="31" t="s">
        <v>81</v>
      </c>
    </row>
    <row r="200" spans="1:10" s="31" customFormat="1" x14ac:dyDescent="0.4">
      <c r="A200" s="38">
        <v>44043</v>
      </c>
      <c r="B200" s="31" t="s">
        <v>251</v>
      </c>
      <c r="C200" s="39">
        <v>7068</v>
      </c>
      <c r="E200" s="39">
        <v>7068</v>
      </c>
      <c r="F200" s="31" t="s">
        <v>80</v>
      </c>
      <c r="H200" s="39">
        <v>7068</v>
      </c>
      <c r="J200" s="31" t="s">
        <v>81</v>
      </c>
    </row>
    <row r="201" spans="1:10" s="31" customFormat="1" x14ac:dyDescent="0.4">
      <c r="A201" s="38">
        <v>44044</v>
      </c>
      <c r="B201" s="31" t="s">
        <v>238</v>
      </c>
      <c r="C201" s="39">
        <v>10287</v>
      </c>
      <c r="E201" s="39">
        <v>10287</v>
      </c>
      <c r="F201" s="31" t="s">
        <v>80</v>
      </c>
      <c r="H201" s="39">
        <v>10287</v>
      </c>
      <c r="J201" s="31" t="s">
        <v>81</v>
      </c>
    </row>
    <row r="202" spans="1:10" s="31" customFormat="1" x14ac:dyDescent="0.4">
      <c r="A202" s="38">
        <v>44044</v>
      </c>
      <c r="B202" s="31" t="s">
        <v>82</v>
      </c>
      <c r="C202" s="39">
        <v>5275</v>
      </c>
      <c r="E202" s="39">
        <v>5275</v>
      </c>
      <c r="F202" s="31" t="s">
        <v>80</v>
      </c>
      <c r="H202" s="39">
        <v>5275</v>
      </c>
      <c r="J202" s="31" t="s">
        <v>81</v>
      </c>
    </row>
    <row r="203" spans="1:10" s="31" customFormat="1" x14ac:dyDescent="0.4">
      <c r="A203" s="38">
        <v>44047</v>
      </c>
      <c r="B203" s="31" t="s">
        <v>254</v>
      </c>
      <c r="C203" s="39">
        <v>5000</v>
      </c>
      <c r="E203" s="39">
        <v>5000</v>
      </c>
      <c r="F203" s="31" t="s">
        <v>80</v>
      </c>
      <c r="H203" s="39">
        <v>5000</v>
      </c>
      <c r="J203" s="31" t="s">
        <v>81</v>
      </c>
    </row>
    <row r="204" spans="1:10" s="31" customFormat="1" x14ac:dyDescent="0.4">
      <c r="A204" s="38">
        <v>44049</v>
      </c>
      <c r="B204" s="31" t="s">
        <v>241</v>
      </c>
      <c r="C204" s="31">
        <v>714</v>
      </c>
      <c r="E204" s="31">
        <v>714</v>
      </c>
      <c r="F204" s="31" t="s">
        <v>80</v>
      </c>
      <c r="H204" s="31">
        <v>714</v>
      </c>
      <c r="J204" s="31" t="s">
        <v>81</v>
      </c>
    </row>
    <row r="205" spans="1:10" s="31" customFormat="1" x14ac:dyDescent="0.4">
      <c r="A205" s="38">
        <v>44051</v>
      </c>
      <c r="B205" s="31" t="s">
        <v>238</v>
      </c>
      <c r="C205" s="39">
        <v>10385</v>
      </c>
      <c r="E205" s="39">
        <v>10385</v>
      </c>
      <c r="F205" s="31" t="s">
        <v>80</v>
      </c>
      <c r="H205" s="39">
        <v>10385</v>
      </c>
      <c r="J205" s="31" t="s">
        <v>81</v>
      </c>
    </row>
    <row r="206" spans="1:10" s="31" customFormat="1" x14ac:dyDescent="0.4">
      <c r="A206" s="38">
        <v>44053</v>
      </c>
      <c r="B206" s="31" t="s">
        <v>247</v>
      </c>
      <c r="C206" s="39">
        <v>1097</v>
      </c>
      <c r="E206" s="39">
        <v>1097</v>
      </c>
      <c r="F206" s="31" t="s">
        <v>80</v>
      </c>
      <c r="H206" s="39">
        <v>1097</v>
      </c>
      <c r="J206" s="31" t="s">
        <v>81</v>
      </c>
    </row>
    <row r="207" spans="1:10" s="31" customFormat="1" x14ac:dyDescent="0.4">
      <c r="A207" s="38">
        <v>44053</v>
      </c>
      <c r="B207" s="31" t="s">
        <v>252</v>
      </c>
      <c r="C207" s="39">
        <v>1940</v>
      </c>
      <c r="E207" s="39">
        <v>1940</v>
      </c>
      <c r="F207" s="31" t="s">
        <v>80</v>
      </c>
      <c r="H207" s="39">
        <v>1940</v>
      </c>
      <c r="J207" s="31" t="s">
        <v>81</v>
      </c>
    </row>
    <row r="208" spans="1:10" s="31" customFormat="1" x14ac:dyDescent="0.4">
      <c r="A208" s="38">
        <v>44053</v>
      </c>
      <c r="B208" s="31" t="s">
        <v>238</v>
      </c>
      <c r="C208" s="39">
        <v>2894</v>
      </c>
      <c r="E208" s="39">
        <v>2894</v>
      </c>
      <c r="F208" s="31" t="s">
        <v>80</v>
      </c>
      <c r="H208" s="39">
        <v>2894</v>
      </c>
      <c r="J208" s="31" t="s">
        <v>81</v>
      </c>
    </row>
    <row r="209" spans="1:10" s="31" customFormat="1" x14ac:dyDescent="0.4">
      <c r="A209" s="38">
        <v>44055</v>
      </c>
      <c r="B209" s="31" t="s">
        <v>238</v>
      </c>
      <c r="C209" s="39">
        <v>10039</v>
      </c>
      <c r="E209" s="39">
        <v>10039</v>
      </c>
      <c r="F209" s="31" t="s">
        <v>80</v>
      </c>
      <c r="H209" s="39">
        <v>10039</v>
      </c>
      <c r="J209" s="31" t="s">
        <v>81</v>
      </c>
    </row>
    <row r="210" spans="1:10" s="31" customFormat="1" x14ac:dyDescent="0.4">
      <c r="A210" s="38">
        <v>44058</v>
      </c>
      <c r="B210" s="31" t="s">
        <v>237</v>
      </c>
      <c r="C210" s="31">
        <v>437</v>
      </c>
      <c r="E210" s="31">
        <v>437</v>
      </c>
      <c r="F210" s="31" t="s">
        <v>80</v>
      </c>
      <c r="H210" s="31">
        <v>437</v>
      </c>
      <c r="J210" s="31" t="s">
        <v>81</v>
      </c>
    </row>
    <row r="211" spans="1:10" s="31" customFormat="1" x14ac:dyDescent="0.4">
      <c r="A211" s="38">
        <v>44058</v>
      </c>
      <c r="B211" s="31" t="s">
        <v>238</v>
      </c>
      <c r="C211" s="39">
        <v>6614</v>
      </c>
      <c r="E211" s="39">
        <v>6614</v>
      </c>
      <c r="F211" s="31" t="s">
        <v>80</v>
      </c>
      <c r="H211" s="39">
        <v>6614</v>
      </c>
      <c r="J211" s="31" t="s">
        <v>81</v>
      </c>
    </row>
    <row r="212" spans="1:10" s="31" customFormat="1" x14ac:dyDescent="0.4">
      <c r="A212" s="38">
        <v>44065</v>
      </c>
      <c r="B212" s="31" t="s">
        <v>237</v>
      </c>
      <c r="C212" s="39">
        <v>3441</v>
      </c>
      <c r="E212" s="39">
        <v>3441</v>
      </c>
      <c r="F212" s="31" t="s">
        <v>80</v>
      </c>
      <c r="H212" s="39">
        <v>3441</v>
      </c>
      <c r="J212" s="31" t="s">
        <v>81</v>
      </c>
    </row>
    <row r="213" spans="1:10" s="31" customFormat="1" x14ac:dyDescent="0.4">
      <c r="A213" s="38">
        <v>44065</v>
      </c>
      <c r="B213" s="31" t="s">
        <v>238</v>
      </c>
      <c r="C213" s="39">
        <v>11888</v>
      </c>
      <c r="E213" s="39">
        <v>11888</v>
      </c>
      <c r="F213" s="31" t="s">
        <v>80</v>
      </c>
      <c r="H213" s="39">
        <v>11888</v>
      </c>
      <c r="J213" s="31" t="s">
        <v>81</v>
      </c>
    </row>
    <row r="214" spans="1:10" s="31" customFormat="1" x14ac:dyDescent="0.4">
      <c r="A214" s="38">
        <v>44066</v>
      </c>
      <c r="B214" s="31" t="s">
        <v>251</v>
      </c>
      <c r="C214" s="39">
        <v>2710</v>
      </c>
      <c r="E214" s="39">
        <v>2710</v>
      </c>
      <c r="F214" s="31" t="s">
        <v>80</v>
      </c>
      <c r="H214" s="39">
        <v>2710</v>
      </c>
      <c r="J214" s="31" t="s">
        <v>81</v>
      </c>
    </row>
    <row r="215" spans="1:10" s="31" customFormat="1" x14ac:dyDescent="0.4">
      <c r="A215" s="38">
        <v>44066</v>
      </c>
      <c r="B215" s="31" t="s">
        <v>251</v>
      </c>
      <c r="C215" s="39">
        <v>6501</v>
      </c>
      <c r="E215" s="39">
        <v>6501</v>
      </c>
      <c r="F215" s="31" t="s">
        <v>80</v>
      </c>
      <c r="H215" s="39">
        <v>6501</v>
      </c>
      <c r="J215" s="31" t="s">
        <v>81</v>
      </c>
    </row>
    <row r="216" spans="1:10" s="31" customFormat="1" x14ac:dyDescent="0.4">
      <c r="A216" s="38">
        <v>44072</v>
      </c>
      <c r="B216" s="31" t="s">
        <v>238</v>
      </c>
      <c r="C216" s="39">
        <v>5761</v>
      </c>
      <c r="E216" s="39">
        <v>5761</v>
      </c>
      <c r="F216" s="31" t="s">
        <v>80</v>
      </c>
      <c r="H216" s="39">
        <v>5761</v>
      </c>
      <c r="J216" s="31" t="s">
        <v>81</v>
      </c>
    </row>
    <row r="217" spans="1:10" s="31" customFormat="1" x14ac:dyDescent="0.4">
      <c r="A217" s="38">
        <v>44073</v>
      </c>
      <c r="B217" s="31" t="s">
        <v>258</v>
      </c>
      <c r="C217" s="31">
        <v>548</v>
      </c>
      <c r="E217" s="31">
        <v>548</v>
      </c>
      <c r="F217" s="31" t="s">
        <v>80</v>
      </c>
      <c r="H217" s="31">
        <v>548</v>
      </c>
      <c r="J217" s="31" t="s">
        <v>81</v>
      </c>
    </row>
    <row r="218" spans="1:10" s="31" customFormat="1" x14ac:dyDescent="0.4">
      <c r="A218" s="38">
        <v>44073</v>
      </c>
      <c r="B218" s="31" t="s">
        <v>237</v>
      </c>
      <c r="C218" s="39">
        <v>1043</v>
      </c>
      <c r="E218" s="39">
        <v>1043</v>
      </c>
      <c r="F218" s="31" t="s">
        <v>80</v>
      </c>
      <c r="H218" s="39">
        <v>1043</v>
      </c>
      <c r="J218" s="31" t="s">
        <v>81</v>
      </c>
    </row>
    <row r="219" spans="1:10" s="31" customFormat="1" x14ac:dyDescent="0.4">
      <c r="A219" s="38">
        <v>44073</v>
      </c>
      <c r="B219" s="31" t="s">
        <v>248</v>
      </c>
      <c r="C219" s="39">
        <v>6526</v>
      </c>
      <c r="E219" s="39">
        <v>6526</v>
      </c>
      <c r="F219" s="31" t="s">
        <v>80</v>
      </c>
      <c r="H219" s="39">
        <v>6526</v>
      </c>
      <c r="J219" s="31" t="s">
        <v>81</v>
      </c>
    </row>
    <row r="220" spans="1:10" s="31" customFormat="1" x14ac:dyDescent="0.4">
      <c r="A220" s="38"/>
      <c r="C220" s="39"/>
      <c r="E220" s="39"/>
      <c r="H220" s="39"/>
    </row>
    <row r="221" spans="1:10" s="31" customFormat="1" x14ac:dyDescent="0.4">
      <c r="A221" s="38"/>
      <c r="C221" s="39"/>
      <c r="E221" s="39"/>
      <c r="H221" s="39"/>
    </row>
    <row r="222" spans="1:10" s="31" customFormat="1" x14ac:dyDescent="0.4">
      <c r="A222" s="38"/>
      <c r="C222" s="39"/>
      <c r="E222" s="39"/>
      <c r="H222" s="39"/>
    </row>
    <row r="223" spans="1:10" s="31" customFormat="1" x14ac:dyDescent="0.4">
      <c r="A223" s="38"/>
      <c r="C223" s="39"/>
      <c r="E223" s="39"/>
      <c r="H223" s="39"/>
    </row>
    <row r="224" spans="1:10" s="31" customFormat="1" x14ac:dyDescent="0.4">
      <c r="A224" s="38"/>
      <c r="C224" s="39"/>
      <c r="E224" s="39"/>
      <c r="H224" s="39"/>
    </row>
    <row r="225" spans="1:8" s="31" customFormat="1" x14ac:dyDescent="0.4">
      <c r="A225" s="38"/>
      <c r="C225" s="39"/>
      <c r="E225" s="39"/>
      <c r="H225" s="39"/>
    </row>
    <row r="226" spans="1:8" s="31" customFormat="1" x14ac:dyDescent="0.4">
      <c r="A226" s="38"/>
      <c r="C226" s="39"/>
      <c r="E226" s="39"/>
      <c r="H226" s="39"/>
    </row>
    <row r="227" spans="1:8" s="31" customFormat="1" x14ac:dyDescent="0.4">
      <c r="A227" s="38"/>
      <c r="C227" s="39"/>
      <c r="E227" s="39"/>
      <c r="H227" s="39"/>
    </row>
    <row r="228" spans="1:8" s="31" customFormat="1" x14ac:dyDescent="0.4">
      <c r="A228" s="38"/>
      <c r="C228" s="39"/>
      <c r="E228" s="39"/>
      <c r="H228" s="39"/>
    </row>
    <row r="229" spans="1:8" s="31" customFormat="1" x14ac:dyDescent="0.4">
      <c r="A229" s="38"/>
    </row>
    <row r="230" spans="1:8" s="31" customFormat="1" x14ac:dyDescent="0.4">
      <c r="A230" s="38"/>
      <c r="C230" s="39"/>
      <c r="E230" s="39"/>
      <c r="H230" s="39"/>
    </row>
    <row r="231" spans="1:8" s="31" customFormat="1" x14ac:dyDescent="0.4">
      <c r="A231" s="38"/>
      <c r="C231" s="39"/>
      <c r="E231" s="39"/>
      <c r="H231" s="39"/>
    </row>
    <row r="232" spans="1:8" s="31" customFormat="1" x14ac:dyDescent="0.4">
      <c r="A232" s="38"/>
      <c r="C232" s="39"/>
      <c r="E232" s="39"/>
      <c r="H232" s="39"/>
    </row>
    <row r="233" spans="1:8" s="31" customFormat="1" x14ac:dyDescent="0.4">
      <c r="A233" s="38"/>
      <c r="C233" s="39"/>
      <c r="E233" s="39"/>
      <c r="H233" s="39"/>
    </row>
    <row r="234" spans="1:8" s="31" customFormat="1" x14ac:dyDescent="0.4">
      <c r="A234" s="38"/>
      <c r="C234" s="39"/>
      <c r="E234" s="39"/>
      <c r="H234" s="39"/>
    </row>
    <row r="235" spans="1:8" s="31" customFormat="1" x14ac:dyDescent="0.4">
      <c r="A235" s="38"/>
      <c r="C235" s="39"/>
      <c r="E235" s="39"/>
      <c r="H235" s="39"/>
    </row>
    <row r="236" spans="1:8" s="31" customFormat="1" x14ac:dyDescent="0.4">
      <c r="A236" s="38"/>
      <c r="C236" s="39"/>
      <c r="E236" s="39"/>
      <c r="H236" s="39"/>
    </row>
    <row r="237" spans="1:8" s="31" customFormat="1" x14ac:dyDescent="0.4">
      <c r="A237" s="38"/>
      <c r="C237" s="39"/>
      <c r="E237" s="39"/>
      <c r="H237" s="39"/>
    </row>
    <row r="238" spans="1:8" s="31" customFormat="1" x14ac:dyDescent="0.4">
      <c r="A238" s="38"/>
    </row>
    <row r="239" spans="1:8" s="31" customFormat="1" x14ac:dyDescent="0.4">
      <c r="A239" s="38"/>
      <c r="C239" s="39"/>
      <c r="E239" s="39"/>
      <c r="H239" s="39"/>
    </row>
    <row r="240" spans="1:8" s="31" customFormat="1" x14ac:dyDescent="0.4">
      <c r="A240" s="38"/>
    </row>
    <row r="241" spans="1:8" s="31" customFormat="1" x14ac:dyDescent="0.4">
      <c r="A241" s="38"/>
      <c r="C241" s="39"/>
      <c r="E241" s="39"/>
      <c r="H241" s="39"/>
    </row>
    <row r="242" spans="1:8" s="31" customFormat="1" x14ac:dyDescent="0.4">
      <c r="A242" s="38"/>
      <c r="C242" s="39"/>
      <c r="E242" s="39"/>
      <c r="H242" s="39"/>
    </row>
    <row r="243" spans="1:8" s="31" customFormat="1" x14ac:dyDescent="0.4">
      <c r="A243" s="38"/>
      <c r="C243" s="39"/>
      <c r="E243" s="39"/>
      <c r="H243" s="39"/>
    </row>
    <row r="244" spans="1:8" s="31" customFormat="1" x14ac:dyDescent="0.4">
      <c r="A244" s="38"/>
    </row>
    <row r="245" spans="1:8" s="31" customFormat="1" x14ac:dyDescent="0.4">
      <c r="A245" s="38"/>
      <c r="C245" s="39"/>
      <c r="E245" s="39"/>
      <c r="H245" s="39"/>
    </row>
    <row r="246" spans="1:8" s="31" customFormat="1" x14ac:dyDescent="0.4">
      <c r="A246" s="38"/>
      <c r="C246" s="39"/>
      <c r="E246" s="39"/>
      <c r="H246" s="39"/>
    </row>
    <row r="247" spans="1:8" s="31" customFormat="1" x14ac:dyDescent="0.4">
      <c r="A247" s="38"/>
      <c r="C247" s="39"/>
      <c r="E247" s="39"/>
      <c r="H247" s="39"/>
    </row>
    <row r="248" spans="1:8" s="31" customFormat="1" x14ac:dyDescent="0.4">
      <c r="A248" s="38"/>
      <c r="C248" s="39"/>
      <c r="E248" s="39"/>
      <c r="H248" s="39"/>
    </row>
    <row r="249" spans="1:8" s="31" customFormat="1" x14ac:dyDescent="0.4">
      <c r="A249" s="38"/>
      <c r="C249" s="39"/>
      <c r="E249" s="39"/>
      <c r="H249" s="39"/>
    </row>
    <row r="250" spans="1:8" s="31" customFormat="1" x14ac:dyDescent="0.4">
      <c r="A250" s="38"/>
    </row>
    <row r="251" spans="1:8" s="31" customFormat="1" x14ac:dyDescent="0.4">
      <c r="A251" s="38"/>
      <c r="C251" s="39"/>
      <c r="E251" s="39"/>
      <c r="H251" s="39"/>
    </row>
    <row r="252" spans="1:8" s="31" customFormat="1" x14ac:dyDescent="0.4">
      <c r="A252" s="38"/>
    </row>
    <row r="253" spans="1:8" s="31" customFormat="1" x14ac:dyDescent="0.4">
      <c r="A253" s="38"/>
      <c r="C253" s="39"/>
      <c r="E253" s="39"/>
      <c r="H253" s="39"/>
    </row>
    <row r="254" spans="1:8" s="31" customFormat="1" x14ac:dyDescent="0.4">
      <c r="A254" s="38"/>
      <c r="C254" s="39"/>
      <c r="E254" s="39"/>
      <c r="H254" s="39"/>
    </row>
    <row r="255" spans="1:8" s="31" customFormat="1" x14ac:dyDescent="0.4">
      <c r="A255" s="38"/>
    </row>
    <row r="256" spans="1:8" s="31" customFormat="1" x14ac:dyDescent="0.4">
      <c r="A256" s="38"/>
      <c r="C256" s="39"/>
      <c r="E256" s="39"/>
      <c r="H256" s="39"/>
    </row>
    <row r="257" spans="1:8" s="31" customFormat="1" x14ac:dyDescent="0.4">
      <c r="A257" s="38"/>
      <c r="C257" s="39"/>
      <c r="E257" s="39"/>
      <c r="H257" s="39"/>
    </row>
    <row r="258" spans="1:8" s="31" customFormat="1" x14ac:dyDescent="0.4">
      <c r="A258" s="38"/>
      <c r="C258" s="39"/>
      <c r="E258" s="39"/>
      <c r="H258" s="39"/>
    </row>
    <row r="259" spans="1:8" s="31" customFormat="1" x14ac:dyDescent="0.4">
      <c r="A259" s="38"/>
      <c r="C259" s="39"/>
      <c r="E259" s="39"/>
      <c r="H259" s="39"/>
    </row>
    <row r="260" spans="1:8" s="31" customFormat="1" x14ac:dyDescent="0.4">
      <c r="A260" s="38"/>
      <c r="C260" s="39"/>
      <c r="E260" s="39"/>
      <c r="H260" s="39"/>
    </row>
    <row r="261" spans="1:8" s="31" customFormat="1" x14ac:dyDescent="0.4">
      <c r="A261" s="38"/>
      <c r="C261" s="39"/>
      <c r="E261" s="39"/>
      <c r="H261" s="39"/>
    </row>
    <row r="262" spans="1:8" s="31" customFormat="1" x14ac:dyDescent="0.4">
      <c r="A262" s="38"/>
      <c r="C262" s="39"/>
      <c r="E262" s="39"/>
      <c r="H262" s="39"/>
    </row>
    <row r="263" spans="1:8" s="31" customFormat="1" x14ac:dyDescent="0.4">
      <c r="A263" s="38"/>
    </row>
    <row r="264" spans="1:8" s="31" customFormat="1" x14ac:dyDescent="0.4">
      <c r="A264" s="38"/>
    </row>
    <row r="265" spans="1:8" s="31" customFormat="1" x14ac:dyDescent="0.4">
      <c r="A265" s="38"/>
      <c r="C265" s="39"/>
      <c r="E265" s="39"/>
      <c r="H265" s="39"/>
    </row>
    <row r="266" spans="1:8" s="31" customFormat="1" x14ac:dyDescent="0.4">
      <c r="A266" s="38"/>
      <c r="C266" s="39"/>
      <c r="E266" s="39"/>
      <c r="H266" s="39"/>
    </row>
    <row r="267" spans="1:8" s="31" customFormat="1" x14ac:dyDescent="0.4">
      <c r="A267" s="38"/>
      <c r="C267" s="39"/>
      <c r="E267" s="39"/>
      <c r="H267" s="39"/>
    </row>
    <row r="268" spans="1:8" s="31" customFormat="1" x14ac:dyDescent="0.4">
      <c r="A268" s="38"/>
      <c r="C268" s="39"/>
      <c r="E268" s="39"/>
      <c r="H268" s="39"/>
    </row>
    <row r="269" spans="1:8" s="31" customFormat="1" x14ac:dyDescent="0.4">
      <c r="A269" s="38"/>
      <c r="C269" s="39"/>
      <c r="E269" s="39"/>
      <c r="H269" s="39"/>
    </row>
    <row r="270" spans="1:8" s="31" customFormat="1" x14ac:dyDescent="0.4">
      <c r="A270" s="38"/>
      <c r="C270" s="39"/>
      <c r="E270" s="39"/>
      <c r="H270" s="39"/>
    </row>
    <row r="271" spans="1:8" s="31" customFormat="1" x14ac:dyDescent="0.4">
      <c r="A271" s="38"/>
      <c r="C271" s="39"/>
      <c r="E271" s="39"/>
      <c r="H271" s="39"/>
    </row>
    <row r="272" spans="1:8" s="31" customFormat="1" x14ac:dyDescent="0.4">
      <c r="A272" s="38"/>
    </row>
    <row r="273" spans="1:8" s="31" customFormat="1" x14ac:dyDescent="0.4">
      <c r="A273" s="38"/>
    </row>
    <row r="274" spans="1:8" s="31" customFormat="1" x14ac:dyDescent="0.4">
      <c r="A274" s="38"/>
      <c r="C274" s="39"/>
      <c r="E274" s="39"/>
      <c r="H274" s="39"/>
    </row>
    <row r="275" spans="1:8" s="31" customFormat="1" x14ac:dyDescent="0.4">
      <c r="A275" s="38"/>
      <c r="C275" s="39"/>
      <c r="E275" s="39"/>
      <c r="H275" s="39"/>
    </row>
    <row r="276" spans="1:8" s="31" customFormat="1" x14ac:dyDescent="0.4">
      <c r="A276" s="38"/>
      <c r="C276" s="39"/>
      <c r="E276" s="39"/>
      <c r="H276" s="39"/>
    </row>
    <row r="277" spans="1:8" s="31" customFormat="1" x14ac:dyDescent="0.4">
      <c r="A277" s="38"/>
      <c r="C277" s="39"/>
      <c r="E277" s="39"/>
      <c r="H277" s="39"/>
    </row>
    <row r="278" spans="1:8" s="31" customFormat="1" x14ac:dyDescent="0.4">
      <c r="A278" s="38"/>
      <c r="C278" s="39"/>
      <c r="E278" s="39"/>
      <c r="H278" s="39"/>
    </row>
    <row r="279" spans="1:8" s="31" customFormat="1" x14ac:dyDescent="0.4">
      <c r="A279" s="38"/>
      <c r="C279" s="39"/>
      <c r="E279" s="39"/>
      <c r="H279" s="39"/>
    </row>
    <row r="280" spans="1:8" s="31" customFormat="1" x14ac:dyDescent="0.4">
      <c r="A280" s="38"/>
      <c r="C280" s="39"/>
      <c r="E280" s="39"/>
      <c r="H280" s="39"/>
    </row>
    <row r="281" spans="1:8" s="31" customFormat="1" x14ac:dyDescent="0.4">
      <c r="A281" s="38"/>
      <c r="C281" s="39"/>
      <c r="E281" s="39"/>
      <c r="H281" s="39"/>
    </row>
    <row r="282" spans="1:8" s="31" customFormat="1" x14ac:dyDescent="0.4">
      <c r="A282" s="38"/>
      <c r="C282" s="39"/>
      <c r="E282" s="39"/>
      <c r="H282" s="39"/>
    </row>
    <row r="283" spans="1:8" s="31" customFormat="1" x14ac:dyDescent="0.4">
      <c r="A283" s="38"/>
      <c r="C283" s="39"/>
      <c r="E283" s="39"/>
      <c r="H283" s="39"/>
    </row>
    <row r="284" spans="1:8" s="31" customFormat="1" x14ac:dyDescent="0.4">
      <c r="A284" s="38"/>
      <c r="C284" s="39"/>
      <c r="E284" s="39"/>
      <c r="H284" s="39"/>
    </row>
    <row r="285" spans="1:8" s="31" customFormat="1" x14ac:dyDescent="0.4">
      <c r="A285" s="38"/>
      <c r="C285" s="39"/>
      <c r="E285" s="39"/>
      <c r="H285" s="39"/>
    </row>
    <row r="286" spans="1:8" s="31" customFormat="1" x14ac:dyDescent="0.4">
      <c r="A286" s="38"/>
    </row>
    <row r="287" spans="1:8" s="31" customFormat="1" x14ac:dyDescent="0.4">
      <c r="A287" s="38"/>
      <c r="C287" s="39"/>
      <c r="E287" s="39"/>
      <c r="H287" s="39"/>
    </row>
    <row r="288" spans="1:8" s="31" customFormat="1" x14ac:dyDescent="0.4">
      <c r="A288" s="38"/>
      <c r="C288" s="39"/>
    </row>
    <row r="289" spans="1:8" s="31" customFormat="1" x14ac:dyDescent="0.4">
      <c r="A289" s="38"/>
      <c r="C289" s="39"/>
      <c r="E289" s="39"/>
      <c r="H289" s="39"/>
    </row>
    <row r="290" spans="1:8" s="31" customFormat="1" x14ac:dyDescent="0.4">
      <c r="A290" s="38"/>
      <c r="C290" s="39"/>
      <c r="E290" s="39"/>
      <c r="H290" s="39"/>
    </row>
    <row r="291" spans="1:8" s="31" customFormat="1" x14ac:dyDescent="0.4">
      <c r="A291" s="38"/>
    </row>
    <row r="292" spans="1:8" s="31" customFormat="1" x14ac:dyDescent="0.4">
      <c r="A292" s="38"/>
      <c r="C292" s="39"/>
      <c r="E292" s="39"/>
      <c r="H292" s="39"/>
    </row>
    <row r="293" spans="1:8" s="31" customFormat="1" x14ac:dyDescent="0.4">
      <c r="A293" s="38"/>
    </row>
    <row r="294" spans="1:8" s="31" customFormat="1" x14ac:dyDescent="0.4">
      <c r="A294" s="38"/>
    </row>
    <row r="295" spans="1:8" s="31" customFormat="1" x14ac:dyDescent="0.4">
      <c r="A295" s="38"/>
    </row>
    <row r="296" spans="1:8" s="31" customFormat="1" x14ac:dyDescent="0.4">
      <c r="A296" s="38"/>
      <c r="C296" s="39"/>
      <c r="E296" s="39"/>
      <c r="H296" s="39"/>
    </row>
    <row r="297" spans="1:8" s="31" customFormat="1" x14ac:dyDescent="0.4">
      <c r="A297" s="38"/>
      <c r="C297" s="39"/>
      <c r="E297" s="39"/>
      <c r="H297" s="39"/>
    </row>
    <row r="298" spans="1:8" s="31" customFormat="1" x14ac:dyDescent="0.4">
      <c r="A298" s="38"/>
      <c r="C298" s="39"/>
      <c r="E298" s="39"/>
      <c r="H298" s="39"/>
    </row>
    <row r="299" spans="1:8" s="31" customFormat="1" x14ac:dyDescent="0.4">
      <c r="A299" s="38"/>
      <c r="C299" s="39"/>
      <c r="E299" s="39"/>
      <c r="H299" s="39"/>
    </row>
    <row r="300" spans="1:8" s="31" customFormat="1" x14ac:dyDescent="0.4">
      <c r="A300" s="38"/>
      <c r="C300" s="39"/>
      <c r="E300" s="39"/>
      <c r="H300" s="39"/>
    </row>
    <row r="301" spans="1:8" s="31" customFormat="1" x14ac:dyDescent="0.4">
      <c r="A301" s="38"/>
    </row>
    <row r="302" spans="1:8" s="31" customFormat="1" x14ac:dyDescent="0.4">
      <c r="A302" s="38"/>
      <c r="C302" s="39"/>
      <c r="E302" s="39"/>
      <c r="H302" s="39"/>
    </row>
    <row r="303" spans="1:8" s="31" customFormat="1" x14ac:dyDescent="0.4">
      <c r="A303" s="38"/>
      <c r="C303" s="39"/>
      <c r="E303" s="39"/>
      <c r="H303" s="39"/>
    </row>
    <row r="304" spans="1:8" s="31" customFormat="1" x14ac:dyDescent="0.4">
      <c r="A304" s="38"/>
      <c r="C304" s="39"/>
      <c r="E304" s="39"/>
      <c r="H304" s="39"/>
    </row>
    <row r="305" spans="1:8" s="31" customFormat="1" x14ac:dyDescent="0.4">
      <c r="A305" s="38"/>
      <c r="C305" s="39"/>
      <c r="E305" s="39"/>
      <c r="H305" s="39"/>
    </row>
    <row r="306" spans="1:8" s="31" customFormat="1" x14ac:dyDescent="0.4">
      <c r="A306" s="38"/>
      <c r="C306" s="39"/>
      <c r="E306" s="39"/>
      <c r="H306" s="39"/>
    </row>
    <row r="307" spans="1:8" s="31" customFormat="1" x14ac:dyDescent="0.4">
      <c r="A307" s="38"/>
      <c r="C307" s="39"/>
      <c r="E307" s="39"/>
      <c r="H307" s="39"/>
    </row>
    <row r="308" spans="1:8" s="31" customFormat="1" x14ac:dyDescent="0.4">
      <c r="A308" s="38"/>
      <c r="C308" s="39"/>
      <c r="E308" s="39"/>
      <c r="H308" s="39"/>
    </row>
    <row r="309" spans="1:8" s="31" customFormat="1" x14ac:dyDescent="0.4">
      <c r="A309" s="38"/>
      <c r="C309" s="39"/>
      <c r="E309" s="39"/>
      <c r="H309" s="39"/>
    </row>
    <row r="310" spans="1:8" s="31" customFormat="1" x14ac:dyDescent="0.4">
      <c r="A310" s="38"/>
      <c r="C310" s="39"/>
      <c r="E310" s="39"/>
      <c r="H310" s="39"/>
    </row>
    <row r="311" spans="1:8" s="31" customFormat="1" x14ac:dyDescent="0.4">
      <c r="A311" s="38"/>
    </row>
    <row r="312" spans="1:8" s="31" customFormat="1" x14ac:dyDescent="0.4">
      <c r="A312" s="38"/>
      <c r="C312" s="39"/>
      <c r="E312" s="39"/>
      <c r="H312" s="39"/>
    </row>
    <row r="313" spans="1:8" s="31" customFormat="1" x14ac:dyDescent="0.4">
      <c r="A313" s="38"/>
    </row>
    <row r="314" spans="1:8" s="31" customFormat="1" x14ac:dyDescent="0.4">
      <c r="A314" s="38"/>
    </row>
    <row r="315" spans="1:8" s="31" customFormat="1" x14ac:dyDescent="0.4">
      <c r="A315" s="38"/>
      <c r="C315" s="39"/>
      <c r="E315" s="39"/>
      <c r="H315" s="39"/>
    </row>
    <row r="316" spans="1:8" s="31" customFormat="1" x14ac:dyDescent="0.4">
      <c r="A316" s="38"/>
      <c r="C316" s="39"/>
      <c r="E316" s="39"/>
      <c r="H316" s="39"/>
    </row>
    <row r="317" spans="1:8" s="31" customFormat="1" x14ac:dyDescent="0.4">
      <c r="A317" s="38"/>
      <c r="C317" s="39"/>
      <c r="E317" s="39"/>
      <c r="H317" s="39"/>
    </row>
    <row r="318" spans="1:8" s="31" customFormat="1" x14ac:dyDescent="0.4">
      <c r="A318" s="38"/>
      <c r="C318" s="39"/>
      <c r="E318" s="39"/>
      <c r="H318" s="39"/>
    </row>
    <row r="319" spans="1:8" s="31" customFormat="1" x14ac:dyDescent="0.4">
      <c r="A319" s="38"/>
    </row>
    <row r="320" spans="1:8" s="31" customFormat="1" x14ac:dyDescent="0.4">
      <c r="A320" s="38"/>
      <c r="C320" s="39"/>
      <c r="E320" s="39"/>
      <c r="H320" s="39"/>
    </row>
    <row r="321" spans="1:8" s="31" customFormat="1" x14ac:dyDescent="0.4">
      <c r="A321" s="38"/>
    </row>
    <row r="322" spans="1:8" s="31" customFormat="1" x14ac:dyDescent="0.4">
      <c r="A322" s="38"/>
      <c r="C322" s="39"/>
      <c r="E322" s="39"/>
      <c r="H322" s="39"/>
    </row>
    <row r="323" spans="1:8" s="31" customFormat="1" x14ac:dyDescent="0.4">
      <c r="A323" s="38"/>
    </row>
    <row r="324" spans="1:8" s="31" customFormat="1" x14ac:dyDescent="0.4">
      <c r="A324" s="38"/>
    </row>
    <row r="325" spans="1:8" s="31" customFormat="1" x14ac:dyDescent="0.4">
      <c r="A325" s="38"/>
      <c r="C325" s="39"/>
      <c r="E325" s="39"/>
      <c r="H325" s="39"/>
    </row>
    <row r="326" spans="1:8" s="31" customFormat="1" x14ac:dyDescent="0.4">
      <c r="A326" s="38"/>
      <c r="C326" s="39"/>
      <c r="E326" s="39"/>
      <c r="H326" s="39"/>
    </row>
    <row r="327" spans="1:8" s="31" customFormat="1" x14ac:dyDescent="0.4">
      <c r="A327" s="38"/>
      <c r="C327" s="39"/>
      <c r="E327" s="39"/>
      <c r="H327" s="39"/>
    </row>
    <row r="328" spans="1:8" s="31" customFormat="1" x14ac:dyDescent="0.4">
      <c r="A328" s="38"/>
      <c r="C328" s="39"/>
      <c r="E328" s="39"/>
      <c r="H328" s="39"/>
    </row>
    <row r="329" spans="1:8" s="31" customFormat="1" x14ac:dyDescent="0.4">
      <c r="A329" s="38"/>
    </row>
    <row r="330" spans="1:8" s="31" customFormat="1" x14ac:dyDescent="0.4">
      <c r="A330" s="38"/>
    </row>
    <row r="331" spans="1:8" s="31" customFormat="1" x14ac:dyDescent="0.4">
      <c r="A331" s="38"/>
    </row>
    <row r="332" spans="1:8" s="31" customFormat="1" x14ac:dyDescent="0.4">
      <c r="A332" s="38"/>
      <c r="C332" s="39"/>
      <c r="E332" s="39"/>
      <c r="H332" s="39"/>
    </row>
    <row r="333" spans="1:8" s="31" customFormat="1" x14ac:dyDescent="0.4">
      <c r="A333" s="38"/>
      <c r="C333" s="39"/>
      <c r="E333" s="39"/>
      <c r="H333" s="39"/>
    </row>
    <row r="334" spans="1:8" s="31" customFormat="1" x14ac:dyDescent="0.4">
      <c r="A334" s="38"/>
      <c r="C334" s="39"/>
      <c r="E334" s="39"/>
      <c r="H334" s="39"/>
    </row>
    <row r="335" spans="1:8" s="31" customFormat="1" x14ac:dyDescent="0.4">
      <c r="A335" s="38"/>
      <c r="C335" s="39"/>
      <c r="E335" s="39"/>
      <c r="H335" s="39"/>
    </row>
    <row r="336" spans="1:8" s="31" customFormat="1" x14ac:dyDescent="0.4">
      <c r="A336" s="38"/>
    </row>
    <row r="337" spans="1:8" s="31" customFormat="1" x14ac:dyDescent="0.4">
      <c r="A337" s="38"/>
    </row>
    <row r="338" spans="1:8" s="31" customFormat="1" x14ac:dyDescent="0.4">
      <c r="A338" s="38"/>
    </row>
    <row r="339" spans="1:8" s="31" customFormat="1" x14ac:dyDescent="0.4">
      <c r="A339" s="38"/>
    </row>
    <row r="340" spans="1:8" s="31" customFormat="1" x14ac:dyDescent="0.4">
      <c r="A340" s="38"/>
    </row>
    <row r="341" spans="1:8" s="31" customFormat="1" x14ac:dyDescent="0.4">
      <c r="A341" s="38"/>
    </row>
    <row r="342" spans="1:8" s="31" customFormat="1" x14ac:dyDescent="0.4">
      <c r="A342" s="38"/>
    </row>
    <row r="343" spans="1:8" s="31" customFormat="1" x14ac:dyDescent="0.4">
      <c r="A343" s="38"/>
    </row>
    <row r="344" spans="1:8" s="31" customFormat="1" x14ac:dyDescent="0.4">
      <c r="A344" s="38"/>
    </row>
    <row r="345" spans="1:8" s="31" customFormat="1" x14ac:dyDescent="0.4">
      <c r="A345" s="38"/>
    </row>
    <row r="346" spans="1:8" s="31" customFormat="1" x14ac:dyDescent="0.4">
      <c r="A346" s="38"/>
      <c r="C346" s="39"/>
      <c r="E346" s="39"/>
      <c r="H346" s="39"/>
    </row>
    <row r="347" spans="1:8" s="31" customFormat="1" x14ac:dyDescent="0.4">
      <c r="A347" s="38"/>
      <c r="C347" s="39"/>
      <c r="E347" s="39"/>
      <c r="H347" s="39"/>
    </row>
    <row r="348" spans="1:8" s="31" customFormat="1" x14ac:dyDescent="0.4">
      <c r="A348" s="38"/>
    </row>
    <row r="349" spans="1:8" s="31" customFormat="1" x14ac:dyDescent="0.4">
      <c r="A349" s="38"/>
      <c r="C349" s="39"/>
      <c r="E349" s="39"/>
      <c r="H349" s="39"/>
    </row>
    <row r="350" spans="1:8" s="31" customFormat="1" x14ac:dyDescent="0.4">
      <c r="A350" s="38"/>
      <c r="C350" s="39"/>
      <c r="E350" s="39"/>
      <c r="H350" s="39"/>
    </row>
    <row r="351" spans="1:8" s="31" customFormat="1" x14ac:dyDescent="0.4">
      <c r="A351" s="38"/>
    </row>
    <row r="352" spans="1:8" s="31" customFormat="1" x14ac:dyDescent="0.4">
      <c r="A352" s="38"/>
      <c r="C352" s="39"/>
      <c r="E352" s="39"/>
      <c r="H352" s="39"/>
    </row>
    <row r="353" spans="1:8" s="31" customFormat="1" x14ac:dyDescent="0.4">
      <c r="A353" s="38"/>
    </row>
    <row r="354" spans="1:8" s="31" customFormat="1" x14ac:dyDescent="0.4">
      <c r="A354" s="38"/>
      <c r="C354" s="39"/>
      <c r="E354" s="39"/>
      <c r="H354" s="39"/>
    </row>
    <row r="355" spans="1:8" s="31" customFormat="1" x14ac:dyDescent="0.4">
      <c r="A355" s="38"/>
      <c r="C355" s="39"/>
      <c r="E355" s="39"/>
      <c r="H355" s="39"/>
    </row>
    <row r="356" spans="1:8" s="31" customFormat="1" x14ac:dyDescent="0.4">
      <c r="A356" s="38"/>
      <c r="C356" s="39"/>
      <c r="E356" s="39"/>
      <c r="H356" s="39"/>
    </row>
    <row r="357" spans="1:8" s="31" customFormat="1" x14ac:dyDescent="0.4">
      <c r="A357" s="38"/>
      <c r="C357" s="39"/>
      <c r="E357" s="39"/>
      <c r="H357" s="39"/>
    </row>
    <row r="358" spans="1:8" s="31" customFormat="1" x14ac:dyDescent="0.4">
      <c r="A358" s="38"/>
    </row>
    <row r="359" spans="1:8" s="31" customFormat="1" x14ac:dyDescent="0.4">
      <c r="A359" s="38"/>
    </row>
    <row r="360" spans="1:8" s="31" customFormat="1" x14ac:dyDescent="0.4">
      <c r="A360" s="38"/>
      <c r="C360" s="39"/>
      <c r="E360" s="39"/>
      <c r="H360" s="39"/>
    </row>
    <row r="361" spans="1:8" s="31" customFormat="1" x14ac:dyDescent="0.4">
      <c r="A361" s="38"/>
      <c r="C361" s="39"/>
      <c r="E361" s="39"/>
      <c r="H361" s="39"/>
    </row>
    <row r="362" spans="1:8" s="31" customFormat="1" x14ac:dyDescent="0.4">
      <c r="A362" s="38"/>
    </row>
    <row r="363" spans="1:8" s="31" customFormat="1" x14ac:dyDescent="0.4">
      <c r="A363" s="38"/>
      <c r="C363" s="39"/>
      <c r="E363" s="39"/>
      <c r="H363" s="39"/>
    </row>
    <row r="364" spans="1:8" s="31" customFormat="1" x14ac:dyDescent="0.4">
      <c r="A364" s="38"/>
    </row>
    <row r="365" spans="1:8" s="31" customFormat="1" x14ac:dyDescent="0.4">
      <c r="A365" s="38"/>
      <c r="C365" s="39"/>
      <c r="E365" s="39"/>
      <c r="H365" s="39"/>
    </row>
    <row r="366" spans="1:8" s="31" customFormat="1" x14ac:dyDescent="0.4">
      <c r="A366" s="38"/>
      <c r="C366" s="39"/>
      <c r="E366" s="39"/>
      <c r="H366" s="39"/>
    </row>
    <row r="367" spans="1:8" s="31" customFormat="1" x14ac:dyDescent="0.4">
      <c r="A367" s="38"/>
      <c r="C367" s="39"/>
      <c r="E367" s="39"/>
      <c r="H367" s="39"/>
    </row>
    <row r="368" spans="1:8" s="31" customFormat="1" x14ac:dyDescent="0.4">
      <c r="A368" s="38"/>
      <c r="C368" s="39"/>
      <c r="E368" s="39"/>
      <c r="H368" s="39"/>
    </row>
    <row r="369" spans="1:8" s="31" customFormat="1" x14ac:dyDescent="0.4">
      <c r="A369" s="38"/>
      <c r="C369" s="39"/>
      <c r="E369" s="39"/>
      <c r="H369" s="39"/>
    </row>
    <row r="370" spans="1:8" s="31" customFormat="1" x14ac:dyDescent="0.4">
      <c r="A370" s="38"/>
      <c r="C370" s="39"/>
      <c r="E370" s="39"/>
      <c r="H370" s="39"/>
    </row>
    <row r="371" spans="1:8" s="31" customFormat="1" x14ac:dyDescent="0.4">
      <c r="A371" s="38"/>
      <c r="C371" s="39"/>
      <c r="E371" s="39"/>
      <c r="H371" s="39"/>
    </row>
    <row r="372" spans="1:8" s="31" customFormat="1" x14ac:dyDescent="0.4">
      <c r="A372" s="38"/>
      <c r="C372" s="39"/>
      <c r="E372" s="39"/>
      <c r="H372" s="39"/>
    </row>
    <row r="373" spans="1:8" s="31" customFormat="1" x14ac:dyDescent="0.4">
      <c r="A373" s="38"/>
      <c r="C373" s="39"/>
      <c r="E373" s="39"/>
      <c r="H373" s="39"/>
    </row>
    <row r="374" spans="1:8" s="31" customFormat="1" x14ac:dyDescent="0.4">
      <c r="A374" s="38"/>
      <c r="C374" s="39"/>
      <c r="E374" s="39"/>
      <c r="H374" s="39"/>
    </row>
    <row r="375" spans="1:8" s="31" customFormat="1" x14ac:dyDescent="0.4">
      <c r="A375" s="38"/>
      <c r="C375" s="39"/>
      <c r="E375" s="39"/>
      <c r="H375" s="39"/>
    </row>
    <row r="376" spans="1:8" s="31" customFormat="1" x14ac:dyDescent="0.4">
      <c r="A376" s="38"/>
      <c r="C376" s="39"/>
      <c r="E376" s="39"/>
      <c r="H376" s="39"/>
    </row>
    <row r="377" spans="1:8" s="31" customFormat="1" x14ac:dyDescent="0.4">
      <c r="A377" s="38"/>
      <c r="C377" s="39"/>
      <c r="E377" s="39"/>
      <c r="H377" s="39"/>
    </row>
    <row r="378" spans="1:8" s="31" customFormat="1" x14ac:dyDescent="0.4">
      <c r="A378" s="38"/>
    </row>
    <row r="379" spans="1:8" s="31" customFormat="1" x14ac:dyDescent="0.4">
      <c r="A379" s="38"/>
      <c r="C379" s="39"/>
      <c r="E379" s="39"/>
      <c r="H379" s="39"/>
    </row>
    <row r="380" spans="1:8" s="31" customFormat="1" x14ac:dyDescent="0.4">
      <c r="A380" s="38"/>
    </row>
    <row r="381" spans="1:8" s="31" customFormat="1" x14ac:dyDescent="0.4">
      <c r="A381" s="38"/>
      <c r="C381" s="39"/>
      <c r="E381" s="39"/>
      <c r="H381" s="39"/>
    </row>
    <row r="382" spans="1:8" s="31" customFormat="1" x14ac:dyDescent="0.4">
      <c r="A382" s="38"/>
      <c r="C382" s="39"/>
      <c r="E382" s="39"/>
      <c r="H382" s="39"/>
    </row>
    <row r="383" spans="1:8" s="31" customFormat="1" x14ac:dyDescent="0.4">
      <c r="A383" s="38"/>
      <c r="C383" s="39"/>
      <c r="E383" s="39"/>
      <c r="H383" s="39"/>
    </row>
    <row r="384" spans="1:8" s="31" customFormat="1" x14ac:dyDescent="0.4">
      <c r="A384" s="38"/>
      <c r="C384" s="39"/>
      <c r="E384" s="39"/>
      <c r="H384" s="39"/>
    </row>
    <row r="385" spans="1:8" s="31" customFormat="1" x14ac:dyDescent="0.4">
      <c r="A385" s="38"/>
      <c r="C385" s="39"/>
      <c r="E385" s="39"/>
      <c r="H385" s="39"/>
    </row>
    <row r="386" spans="1:8" s="31" customFormat="1" x14ac:dyDescent="0.4">
      <c r="A386" s="38"/>
      <c r="C386" s="39"/>
      <c r="E386" s="39"/>
      <c r="H386" s="39"/>
    </row>
    <row r="387" spans="1:8" s="31" customFormat="1" x14ac:dyDescent="0.4">
      <c r="A387" s="38"/>
      <c r="C387" s="39"/>
      <c r="E387" s="39"/>
      <c r="H387" s="39"/>
    </row>
    <row r="388" spans="1:8" s="31" customFormat="1" x14ac:dyDescent="0.4">
      <c r="A388" s="38"/>
    </row>
    <row r="389" spans="1:8" s="31" customFormat="1" x14ac:dyDescent="0.4">
      <c r="A389" s="38"/>
      <c r="C389" s="39"/>
      <c r="E389" s="39"/>
      <c r="H389" s="39"/>
    </row>
    <row r="390" spans="1:8" s="31" customFormat="1" x14ac:dyDescent="0.4">
      <c r="A390" s="38"/>
      <c r="C390" s="39"/>
      <c r="E390" s="39"/>
      <c r="H390" s="39"/>
    </row>
    <row r="391" spans="1:8" s="31" customFormat="1" x14ac:dyDescent="0.4">
      <c r="A391" s="38"/>
      <c r="C391" s="39"/>
      <c r="E391" s="39"/>
      <c r="H391" s="39"/>
    </row>
    <row r="392" spans="1:8" s="31" customFormat="1" x14ac:dyDescent="0.4">
      <c r="A392" s="38"/>
      <c r="C392" s="39"/>
      <c r="E392" s="39"/>
      <c r="H392" s="39"/>
    </row>
    <row r="393" spans="1:8" s="31" customFormat="1" x14ac:dyDescent="0.4">
      <c r="A393" s="38"/>
      <c r="C393" s="39"/>
      <c r="E393" s="39"/>
      <c r="H393" s="39"/>
    </row>
    <row r="394" spans="1:8" s="31" customFormat="1" x14ac:dyDescent="0.4">
      <c r="A394" s="38"/>
      <c r="C394" s="39"/>
      <c r="E394" s="39"/>
      <c r="H394" s="39"/>
    </row>
    <row r="395" spans="1:8" s="31" customFormat="1" x14ac:dyDescent="0.4">
      <c r="A395" s="38"/>
    </row>
    <row r="396" spans="1:8" s="31" customFormat="1" x14ac:dyDescent="0.4">
      <c r="A396" s="38"/>
      <c r="C396" s="39"/>
      <c r="E396" s="39"/>
      <c r="H396" s="39"/>
    </row>
    <row r="397" spans="1:8" s="31" customFormat="1" x14ac:dyDescent="0.4">
      <c r="A397" s="38"/>
      <c r="C397" s="39"/>
      <c r="E397" s="39"/>
      <c r="H397" s="39"/>
    </row>
    <row r="398" spans="1:8" s="31" customFormat="1" x14ac:dyDescent="0.4">
      <c r="A398" s="38"/>
    </row>
    <row r="399" spans="1:8" s="31" customFormat="1" x14ac:dyDescent="0.4">
      <c r="A399" s="38"/>
      <c r="C399" s="39"/>
      <c r="E399" s="39"/>
      <c r="H399" s="39"/>
    </row>
    <row r="400" spans="1:8" s="31" customFormat="1" x14ac:dyDescent="0.4">
      <c r="A400" s="38"/>
      <c r="C400" s="39"/>
      <c r="E400" s="39"/>
      <c r="H400" s="39"/>
    </row>
    <row r="401" spans="1:8" s="31" customFormat="1" x14ac:dyDescent="0.4">
      <c r="A401" s="38"/>
      <c r="C401" s="39"/>
      <c r="E401" s="39"/>
      <c r="H401" s="39"/>
    </row>
    <row r="402" spans="1:8" s="31" customFormat="1" x14ac:dyDescent="0.4">
      <c r="A402" s="38"/>
      <c r="C402" s="39"/>
      <c r="E402" s="39"/>
      <c r="H402" s="39"/>
    </row>
    <row r="403" spans="1:8" s="31" customFormat="1" x14ac:dyDescent="0.4">
      <c r="A403" s="38"/>
    </row>
    <row r="404" spans="1:8" s="31" customFormat="1" x14ac:dyDescent="0.4">
      <c r="A404" s="38"/>
      <c r="C404" s="39"/>
      <c r="E404" s="39"/>
      <c r="H404" s="39"/>
    </row>
    <row r="405" spans="1:8" s="31" customFormat="1" x14ac:dyDescent="0.4">
      <c r="A405" s="38"/>
      <c r="C405" s="39"/>
      <c r="E405" s="39"/>
      <c r="H405" s="39"/>
    </row>
    <row r="406" spans="1:8" s="31" customFormat="1" x14ac:dyDescent="0.4">
      <c r="A406" s="38"/>
      <c r="C406" s="39"/>
      <c r="E406" s="39"/>
      <c r="H406" s="39"/>
    </row>
    <row r="407" spans="1:8" s="31" customFormat="1" x14ac:dyDescent="0.4">
      <c r="A407" s="38"/>
    </row>
    <row r="408" spans="1:8" s="31" customFormat="1" x14ac:dyDescent="0.4">
      <c r="A408" s="38"/>
      <c r="C408" s="39"/>
      <c r="E408" s="39"/>
      <c r="H408" s="39"/>
    </row>
    <row r="409" spans="1:8" s="31" customFormat="1" x14ac:dyDescent="0.4">
      <c r="A409" s="38"/>
      <c r="C409" s="39"/>
      <c r="E409" s="39"/>
      <c r="H409" s="39"/>
    </row>
    <row r="410" spans="1:8" s="31" customFormat="1" x14ac:dyDescent="0.4">
      <c r="A410" s="38"/>
      <c r="C410" s="39"/>
      <c r="E410" s="39"/>
      <c r="H410" s="39"/>
    </row>
    <row r="411" spans="1:8" s="31" customFormat="1" x14ac:dyDescent="0.4">
      <c r="A411" s="38"/>
    </row>
    <row r="412" spans="1:8" s="31" customFormat="1" x14ac:dyDescent="0.4">
      <c r="A412" s="38"/>
      <c r="C412" s="39"/>
      <c r="E412" s="39"/>
      <c r="H412" s="39"/>
    </row>
    <row r="413" spans="1:8" s="31" customFormat="1" x14ac:dyDescent="0.4">
      <c r="A413" s="38"/>
      <c r="C413" s="39"/>
      <c r="E413" s="39"/>
      <c r="H413" s="39"/>
    </row>
    <row r="414" spans="1:8" s="31" customFormat="1" x14ac:dyDescent="0.4">
      <c r="A414" s="38"/>
      <c r="C414" s="39"/>
      <c r="E414" s="39"/>
      <c r="H414" s="39"/>
    </row>
    <row r="415" spans="1:8" s="31" customFormat="1" x14ac:dyDescent="0.4">
      <c r="A415" s="38"/>
    </row>
    <row r="416" spans="1:8" s="31" customFormat="1" x14ac:dyDescent="0.4">
      <c r="A416" s="38"/>
      <c r="C416" s="39"/>
      <c r="E416" s="39"/>
      <c r="H416" s="39"/>
    </row>
    <row r="417" spans="1:8" s="31" customFormat="1" x14ac:dyDescent="0.4">
      <c r="A417" s="38"/>
      <c r="C417" s="39"/>
      <c r="E417" s="39"/>
      <c r="H417" s="39"/>
    </row>
    <row r="418" spans="1:8" s="31" customFormat="1" x14ac:dyDescent="0.4">
      <c r="A418" s="38"/>
      <c r="C418" s="39"/>
      <c r="E418" s="39"/>
      <c r="H418" s="39"/>
    </row>
    <row r="419" spans="1:8" s="31" customFormat="1" x14ac:dyDescent="0.4">
      <c r="A419" s="38"/>
      <c r="C419" s="39"/>
      <c r="E419" s="39"/>
      <c r="H419" s="39"/>
    </row>
    <row r="420" spans="1:8" s="31" customFormat="1" x14ac:dyDescent="0.4">
      <c r="A420" s="38"/>
      <c r="C420" s="39"/>
      <c r="E420" s="39"/>
      <c r="H420" s="39"/>
    </row>
    <row r="421" spans="1:8" s="31" customFormat="1" x14ac:dyDescent="0.4">
      <c r="A421" s="38"/>
    </row>
    <row r="422" spans="1:8" s="31" customFormat="1" x14ac:dyDescent="0.4">
      <c r="A422" s="38"/>
      <c r="C422" s="39"/>
      <c r="E422" s="39"/>
      <c r="H422" s="39"/>
    </row>
    <row r="423" spans="1:8" s="31" customFormat="1" x14ac:dyDescent="0.4">
      <c r="A423" s="38"/>
      <c r="C423" s="39"/>
      <c r="E423" s="39"/>
      <c r="H423" s="39"/>
    </row>
    <row r="424" spans="1:8" s="31" customFormat="1" x14ac:dyDescent="0.4">
      <c r="A424" s="38"/>
      <c r="C424" s="39"/>
      <c r="E424" s="39"/>
      <c r="H424" s="39"/>
    </row>
    <row r="425" spans="1:8" s="31" customFormat="1" x14ac:dyDescent="0.4">
      <c r="A425" s="38"/>
      <c r="C425" s="39"/>
      <c r="E425" s="39"/>
      <c r="H425" s="39"/>
    </row>
    <row r="426" spans="1:8" s="31" customFormat="1" x14ac:dyDescent="0.4">
      <c r="A426" s="38"/>
      <c r="C426" s="39"/>
      <c r="E426" s="39"/>
      <c r="H426" s="39"/>
    </row>
    <row r="427" spans="1:8" s="31" customFormat="1" x14ac:dyDescent="0.4">
      <c r="A427" s="38"/>
    </row>
    <row r="428" spans="1:8" s="31" customFormat="1" x14ac:dyDescent="0.4">
      <c r="A428" s="38"/>
      <c r="C428" s="39"/>
      <c r="E428" s="39"/>
      <c r="H428" s="39"/>
    </row>
    <row r="429" spans="1:8" s="31" customFormat="1" x14ac:dyDescent="0.4">
      <c r="A429" s="38"/>
      <c r="C429" s="39"/>
      <c r="E429" s="39"/>
      <c r="H429" s="39"/>
    </row>
    <row r="430" spans="1:8" s="31" customFormat="1" x14ac:dyDescent="0.4">
      <c r="A430" s="38"/>
      <c r="C430" s="39"/>
      <c r="E430" s="39"/>
      <c r="H430" s="39"/>
    </row>
    <row r="431" spans="1:8" s="31" customFormat="1" x14ac:dyDescent="0.4">
      <c r="A431" s="38"/>
      <c r="C431" s="39"/>
      <c r="E431" s="39"/>
      <c r="H431" s="39"/>
    </row>
    <row r="432" spans="1:8" s="31" customFormat="1" x14ac:dyDescent="0.4">
      <c r="A432" s="38"/>
      <c r="C432" s="39"/>
      <c r="E432" s="39"/>
      <c r="H432" s="39"/>
    </row>
    <row r="433" spans="1:8" s="31" customFormat="1" x14ac:dyDescent="0.4">
      <c r="A433" s="38"/>
      <c r="C433" s="39"/>
      <c r="E433" s="39"/>
      <c r="H433" s="39"/>
    </row>
    <row r="434" spans="1:8" s="31" customFormat="1" x14ac:dyDescent="0.4">
      <c r="A434" s="38"/>
    </row>
    <row r="435" spans="1:8" s="31" customFormat="1" x14ac:dyDescent="0.4">
      <c r="A435" s="38"/>
      <c r="C435" s="39"/>
      <c r="E435" s="39"/>
      <c r="H435" s="39"/>
    </row>
    <row r="436" spans="1:8" s="31" customFormat="1" x14ac:dyDescent="0.4">
      <c r="A436" s="38"/>
      <c r="C436" s="39"/>
      <c r="E436" s="39"/>
      <c r="H436" s="39"/>
    </row>
    <row r="437" spans="1:8" s="31" customFormat="1" x14ac:dyDescent="0.4">
      <c r="A437" s="38"/>
      <c r="D437" s="39"/>
      <c r="F437" s="39"/>
    </row>
    <row r="438" spans="1:8" s="31" customFormat="1" x14ac:dyDescent="0.4">
      <c r="A438" s="38"/>
      <c r="E438" s="39"/>
      <c r="F438" s="39"/>
    </row>
    <row r="439" spans="1:8" s="31" customFormat="1" x14ac:dyDescent="0.4">
      <c r="A439" s="38"/>
      <c r="D439" s="39"/>
      <c r="F439" s="39"/>
    </row>
    <row r="440" spans="1:8" s="31" customFormat="1" x14ac:dyDescent="0.4">
      <c r="A440" s="38"/>
      <c r="F440" s="39"/>
    </row>
    <row r="441" spans="1:8" s="31" customFormat="1" x14ac:dyDescent="0.4">
      <c r="A441" s="38"/>
      <c r="D441" s="39"/>
      <c r="F441" s="39"/>
    </row>
    <row r="442" spans="1:8" s="31" customFormat="1" x14ac:dyDescent="0.4">
      <c r="A442" s="38"/>
      <c r="D442" s="39"/>
      <c r="F442" s="39"/>
    </row>
    <row r="443" spans="1:8" s="31" customFormat="1" x14ac:dyDescent="0.4">
      <c r="A443" s="38"/>
      <c r="D443" s="39"/>
      <c r="F443" s="39"/>
    </row>
    <row r="444" spans="1:8" s="31" customFormat="1" x14ac:dyDescent="0.4">
      <c r="A444" s="38"/>
      <c r="D444" s="39"/>
      <c r="F444" s="39"/>
    </row>
    <row r="445" spans="1:8" s="31" customFormat="1" x14ac:dyDescent="0.4">
      <c r="A445" s="38"/>
      <c r="D445" s="39"/>
      <c r="F445" s="39"/>
    </row>
    <row r="446" spans="1:8" s="31" customFormat="1" x14ac:dyDescent="0.4">
      <c r="A446" s="38"/>
      <c r="D446" s="39"/>
      <c r="F446" s="39"/>
    </row>
    <row r="447" spans="1:8" s="31" customFormat="1" x14ac:dyDescent="0.4">
      <c r="A447" s="38"/>
      <c r="F447" s="39"/>
    </row>
    <row r="448" spans="1:8" s="31" customFormat="1" x14ac:dyDescent="0.4">
      <c r="A448" s="38"/>
      <c r="D448" s="39"/>
      <c r="F448" s="39"/>
    </row>
    <row r="449" spans="1:6" s="31" customFormat="1" x14ac:dyDescent="0.4">
      <c r="A449" s="38"/>
      <c r="D449" s="39"/>
      <c r="F449" s="39"/>
    </row>
    <row r="450" spans="1:6" s="31" customFormat="1" x14ac:dyDescent="0.4">
      <c r="A450" s="38"/>
      <c r="D450" s="39"/>
      <c r="F450" s="39"/>
    </row>
    <row r="451" spans="1:6" s="31" customFormat="1" x14ac:dyDescent="0.4">
      <c r="A451" s="38"/>
      <c r="E451" s="39"/>
      <c r="F451" s="39"/>
    </row>
    <row r="452" spans="1:6" s="31" customFormat="1" x14ac:dyDescent="0.4">
      <c r="A452" s="38"/>
      <c r="D452" s="39"/>
      <c r="F452" s="39"/>
    </row>
    <row r="453" spans="1:6" s="31" customFormat="1" x14ac:dyDescent="0.4">
      <c r="A453" s="38"/>
      <c r="F453" s="39"/>
    </row>
    <row r="454" spans="1:6" s="31" customFormat="1" x14ac:dyDescent="0.4">
      <c r="A454" s="38"/>
      <c r="D454" s="39"/>
      <c r="F454" s="39"/>
    </row>
    <row r="455" spans="1:6" s="31" customFormat="1" x14ac:dyDescent="0.4">
      <c r="A455" s="38"/>
      <c r="D455" s="39"/>
      <c r="F455" s="39"/>
    </row>
    <row r="456" spans="1:6" s="31" customFormat="1" x14ac:dyDescent="0.4">
      <c r="A456" s="38"/>
      <c r="D456" s="39"/>
      <c r="F456" s="39"/>
    </row>
    <row r="457" spans="1:6" s="31" customFormat="1" x14ac:dyDescent="0.4">
      <c r="A457" s="38"/>
      <c r="D457" s="39"/>
      <c r="F457" s="39"/>
    </row>
    <row r="458" spans="1:6" s="31" customFormat="1" x14ac:dyDescent="0.4">
      <c r="A458" s="38"/>
      <c r="D458" s="39"/>
      <c r="F458" s="39"/>
    </row>
    <row r="459" spans="1:6" s="31" customFormat="1" x14ac:dyDescent="0.4">
      <c r="A459" s="38"/>
      <c r="D459" s="39"/>
      <c r="F459" s="39"/>
    </row>
    <row r="460" spans="1:6" s="31" customFormat="1" x14ac:dyDescent="0.4">
      <c r="A460" s="38"/>
      <c r="D460" s="39"/>
      <c r="F460" s="39"/>
    </row>
    <row r="461" spans="1:6" s="31" customFormat="1" x14ac:dyDescent="0.4">
      <c r="A461" s="38"/>
      <c r="E461" s="39"/>
      <c r="F461" s="39"/>
    </row>
    <row r="462" spans="1:6" s="31" customFormat="1" x14ac:dyDescent="0.4">
      <c r="A462" s="38"/>
      <c r="D462" s="39"/>
      <c r="F462" s="39"/>
    </row>
    <row r="463" spans="1:6" s="31" customFormat="1" x14ac:dyDescent="0.4">
      <c r="A463" s="38"/>
      <c r="F463" s="39"/>
    </row>
    <row r="464" spans="1:6" s="31" customFormat="1" x14ac:dyDescent="0.4">
      <c r="A464" s="38"/>
      <c r="D464" s="39"/>
      <c r="F464" s="39"/>
    </row>
    <row r="465" spans="1:6" s="31" customFormat="1" x14ac:dyDescent="0.4">
      <c r="A465" s="38"/>
      <c r="D465" s="39"/>
      <c r="F465" s="39"/>
    </row>
    <row r="466" spans="1:6" s="31" customFormat="1" x14ac:dyDescent="0.4">
      <c r="A466" s="38"/>
      <c r="F466" s="39"/>
    </row>
    <row r="467" spans="1:6" s="31" customFormat="1" x14ac:dyDescent="0.4">
      <c r="A467" s="38"/>
      <c r="D467" s="39"/>
      <c r="F467" s="39"/>
    </row>
    <row r="468" spans="1:6" s="31" customFormat="1" x14ac:dyDescent="0.4">
      <c r="A468" s="38"/>
      <c r="D468" s="39"/>
      <c r="F468" s="39"/>
    </row>
    <row r="469" spans="1:6" s="31" customFormat="1" x14ac:dyDescent="0.4">
      <c r="A469" s="38"/>
      <c r="D469" s="39"/>
      <c r="F469" s="39"/>
    </row>
    <row r="470" spans="1:6" s="31" customFormat="1" x14ac:dyDescent="0.4">
      <c r="A470" s="38"/>
      <c r="D470" s="39"/>
      <c r="F470" s="39"/>
    </row>
    <row r="471" spans="1:6" s="31" customFormat="1" x14ac:dyDescent="0.4">
      <c r="A471" s="38"/>
      <c r="D471" s="39"/>
      <c r="F471" s="39"/>
    </row>
    <row r="472" spans="1:6" s="31" customFormat="1" x14ac:dyDescent="0.4">
      <c r="A472" s="38"/>
      <c r="D472" s="39"/>
      <c r="F472" s="39"/>
    </row>
    <row r="473" spans="1:6" s="31" customFormat="1" x14ac:dyDescent="0.4">
      <c r="A473" s="38"/>
      <c r="E473" s="39"/>
      <c r="F473" s="39"/>
    </row>
    <row r="474" spans="1:6" s="31" customFormat="1" x14ac:dyDescent="0.4">
      <c r="A474" s="38"/>
      <c r="D474" s="39"/>
      <c r="F474" s="39"/>
    </row>
    <row r="475" spans="1:6" s="31" customFormat="1" x14ac:dyDescent="0.4">
      <c r="A475" s="38"/>
      <c r="F475" s="39"/>
    </row>
    <row r="476" spans="1:6" s="31" customFormat="1" x14ac:dyDescent="0.4">
      <c r="A476" s="38"/>
      <c r="D476" s="39"/>
      <c r="F476" s="39"/>
    </row>
    <row r="477" spans="1:6" s="31" customFormat="1" x14ac:dyDescent="0.4">
      <c r="A477" s="38"/>
      <c r="D477" s="39"/>
      <c r="F477" s="39"/>
    </row>
    <row r="478" spans="1:6" s="31" customFormat="1" x14ac:dyDescent="0.4">
      <c r="A478" s="38"/>
      <c r="D478" s="39"/>
      <c r="F478" s="39"/>
    </row>
    <row r="479" spans="1:6" s="31" customFormat="1" x14ac:dyDescent="0.4">
      <c r="A479" s="38"/>
      <c r="D479" s="39"/>
      <c r="F479" s="39"/>
    </row>
    <row r="480" spans="1:6" s="31" customFormat="1" x14ac:dyDescent="0.4">
      <c r="A480" s="38"/>
      <c r="E480" s="39"/>
      <c r="F480" s="39"/>
    </row>
    <row r="481" spans="1:6" s="31" customFormat="1" x14ac:dyDescent="0.4">
      <c r="A481" s="38"/>
      <c r="E481" s="39"/>
      <c r="F481" s="39"/>
    </row>
    <row r="482" spans="1:6" s="31" customFormat="1" x14ac:dyDescent="0.4">
      <c r="A482" s="38"/>
      <c r="D482" s="39"/>
      <c r="F482" s="39"/>
    </row>
    <row r="483" spans="1:6" s="31" customFormat="1" x14ac:dyDescent="0.4">
      <c r="A483" s="38"/>
      <c r="D483" s="39"/>
      <c r="F483" s="39"/>
    </row>
    <row r="484" spans="1:6" s="31" customFormat="1" x14ac:dyDescent="0.4">
      <c r="A484" s="38"/>
      <c r="D484" s="39"/>
      <c r="F484" s="39"/>
    </row>
    <row r="485" spans="1:6" s="31" customFormat="1" x14ac:dyDescent="0.4">
      <c r="A485" s="38"/>
      <c r="D485" s="39"/>
      <c r="F485" s="39"/>
    </row>
    <row r="486" spans="1:6" s="31" customFormat="1" x14ac:dyDescent="0.4">
      <c r="A486" s="38"/>
      <c r="E486" s="39"/>
      <c r="F486" s="39"/>
    </row>
    <row r="487" spans="1:6" s="31" customFormat="1" x14ac:dyDescent="0.4">
      <c r="A487" s="38"/>
      <c r="D487" s="39"/>
      <c r="F487" s="39"/>
    </row>
    <row r="488" spans="1:6" s="31" customFormat="1" x14ac:dyDescent="0.4">
      <c r="A488" s="38"/>
      <c r="F488" s="39"/>
    </row>
    <row r="489" spans="1:6" s="31" customFormat="1" x14ac:dyDescent="0.4">
      <c r="A489" s="38"/>
      <c r="D489" s="39"/>
      <c r="F489" s="39"/>
    </row>
    <row r="490" spans="1:6" s="31" customFormat="1" x14ac:dyDescent="0.4">
      <c r="A490" s="38"/>
      <c r="D490" s="39"/>
      <c r="F490" s="39"/>
    </row>
    <row r="491" spans="1:6" s="31" customFormat="1" x14ac:dyDescent="0.4">
      <c r="A491" s="38"/>
      <c r="D491" s="39"/>
      <c r="F491" s="39"/>
    </row>
    <row r="492" spans="1:6" s="31" customFormat="1" x14ac:dyDescent="0.4">
      <c r="A492" s="38"/>
      <c r="D492" s="39"/>
      <c r="F492" s="39"/>
    </row>
    <row r="493" spans="1:6" s="31" customFormat="1" x14ac:dyDescent="0.4">
      <c r="A493" s="38"/>
      <c r="D493" s="39"/>
      <c r="F493" s="39"/>
    </row>
    <row r="494" spans="1:6" s="31" customFormat="1" x14ac:dyDescent="0.4">
      <c r="A494" s="38"/>
      <c r="D494" s="39"/>
      <c r="F494" s="39"/>
    </row>
    <row r="495" spans="1:6" s="31" customFormat="1" x14ac:dyDescent="0.4">
      <c r="A495" s="38"/>
      <c r="D495" s="39"/>
      <c r="F495" s="39"/>
    </row>
    <row r="496" spans="1:6" s="31" customFormat="1" x14ac:dyDescent="0.4">
      <c r="A496" s="38"/>
      <c r="E496" s="39"/>
      <c r="F496" s="39"/>
    </row>
    <row r="497" spans="1:6" s="31" customFormat="1" x14ac:dyDescent="0.4">
      <c r="A497" s="38"/>
      <c r="D497" s="39"/>
      <c r="F497" s="39"/>
    </row>
    <row r="498" spans="1:6" s="31" customFormat="1" x14ac:dyDescent="0.4">
      <c r="A498" s="38"/>
      <c r="F498" s="39"/>
    </row>
    <row r="499" spans="1:6" s="31" customFormat="1" x14ac:dyDescent="0.4">
      <c r="A499" s="38"/>
      <c r="D499" s="39"/>
      <c r="F499" s="39"/>
    </row>
    <row r="500" spans="1:6" s="31" customFormat="1" x14ac:dyDescent="0.4">
      <c r="A500" s="38"/>
      <c r="D500" s="39"/>
      <c r="F500" s="39"/>
    </row>
    <row r="501" spans="1:6" s="31" customFormat="1" x14ac:dyDescent="0.4">
      <c r="A501" s="38"/>
      <c r="D501" s="39"/>
      <c r="F501" s="39"/>
    </row>
    <row r="502" spans="1:6" s="31" customFormat="1" x14ac:dyDescent="0.4">
      <c r="A502" s="38"/>
      <c r="D502" s="39"/>
      <c r="F502" s="39"/>
    </row>
    <row r="503" spans="1:6" s="31" customFormat="1" x14ac:dyDescent="0.4">
      <c r="A503" s="38"/>
      <c r="D503" s="39"/>
      <c r="F503" s="39"/>
    </row>
    <row r="504" spans="1:6" s="31" customFormat="1" x14ac:dyDescent="0.4">
      <c r="A504" s="38"/>
      <c r="D504" s="39"/>
      <c r="F504" s="39"/>
    </row>
    <row r="505" spans="1:6" s="31" customFormat="1" x14ac:dyDescent="0.4">
      <c r="A505" s="38"/>
      <c r="D505" s="39"/>
      <c r="F505" s="39"/>
    </row>
    <row r="506" spans="1:6" s="31" customFormat="1" x14ac:dyDescent="0.4">
      <c r="A506" s="38"/>
      <c r="E506" s="39"/>
      <c r="F506" s="39"/>
    </row>
    <row r="507" spans="1:6" s="31" customFormat="1" x14ac:dyDescent="0.4">
      <c r="A507" s="38"/>
      <c r="D507" s="39"/>
      <c r="F507" s="39"/>
    </row>
    <row r="508" spans="1:6" s="31" customFormat="1" x14ac:dyDescent="0.4">
      <c r="A508" s="38"/>
      <c r="F508" s="39"/>
    </row>
    <row r="509" spans="1:6" s="31" customFormat="1" x14ac:dyDescent="0.4">
      <c r="A509" s="38"/>
      <c r="D509" s="39"/>
      <c r="F509" s="39"/>
    </row>
    <row r="510" spans="1:6" s="31" customFormat="1" x14ac:dyDescent="0.4">
      <c r="A510" s="38"/>
      <c r="D510" s="39"/>
      <c r="F510" s="39"/>
    </row>
    <row r="511" spans="1:6" s="31" customFormat="1" x14ac:dyDescent="0.4">
      <c r="A511" s="38"/>
      <c r="D511" s="39"/>
      <c r="F511" s="39"/>
    </row>
    <row r="512" spans="1:6" s="31" customFormat="1" x14ac:dyDescent="0.4">
      <c r="A512" s="38"/>
      <c r="D512" s="39"/>
      <c r="F512" s="39"/>
    </row>
    <row r="513" spans="1:6" s="31" customFormat="1" x14ac:dyDescent="0.4">
      <c r="A513" s="38"/>
      <c r="E513" s="39"/>
      <c r="F513" s="39"/>
    </row>
    <row r="514" spans="1:6" s="31" customFormat="1" x14ac:dyDescent="0.4">
      <c r="A514" s="38"/>
      <c r="F514" s="39"/>
    </row>
    <row r="515" spans="1:6" s="31" customFormat="1" x14ac:dyDescent="0.4">
      <c r="A515" s="38"/>
      <c r="D515" s="39"/>
      <c r="F515" s="39"/>
    </row>
    <row r="516" spans="1:6" s="31" customFormat="1" x14ac:dyDescent="0.4">
      <c r="A516" s="38"/>
      <c r="D516" s="39"/>
      <c r="F516" s="39"/>
    </row>
    <row r="517" spans="1:6" s="31" customFormat="1" x14ac:dyDescent="0.4">
      <c r="A517" s="38"/>
      <c r="D517" s="39"/>
      <c r="F517" s="39"/>
    </row>
    <row r="518" spans="1:6" s="31" customFormat="1" x14ac:dyDescent="0.4">
      <c r="A518" s="38"/>
      <c r="D518" s="39"/>
      <c r="F518" s="39"/>
    </row>
    <row r="519" spans="1:6" s="31" customFormat="1" x14ac:dyDescent="0.4">
      <c r="A519" s="38"/>
      <c r="F519" s="39"/>
    </row>
    <row r="520" spans="1:6" s="31" customFormat="1" x14ac:dyDescent="0.4">
      <c r="A520" s="38"/>
      <c r="E520" s="39"/>
      <c r="F520" s="39"/>
    </row>
    <row r="521" spans="1:6" s="31" customFormat="1" x14ac:dyDescent="0.4">
      <c r="A521" s="38"/>
      <c r="D521" s="39"/>
      <c r="F521" s="39"/>
    </row>
    <row r="522" spans="1:6" s="31" customFormat="1" x14ac:dyDescent="0.4">
      <c r="A522" s="38"/>
      <c r="F522" s="39"/>
    </row>
    <row r="523" spans="1:6" s="31" customFormat="1" x14ac:dyDescent="0.4">
      <c r="A523" s="38"/>
      <c r="D523" s="39"/>
      <c r="F523" s="39"/>
    </row>
    <row r="524" spans="1:6" s="31" customFormat="1" x14ac:dyDescent="0.4">
      <c r="A524" s="38"/>
      <c r="D524" s="39"/>
      <c r="F524" s="39"/>
    </row>
    <row r="525" spans="1:6" s="31" customFormat="1" x14ac:dyDescent="0.4">
      <c r="A525" s="38"/>
      <c r="D525" s="39"/>
      <c r="F525" s="39"/>
    </row>
    <row r="526" spans="1:6" s="31" customFormat="1" x14ac:dyDescent="0.4">
      <c r="A526" s="38"/>
      <c r="D526" s="39"/>
      <c r="F526" s="39"/>
    </row>
    <row r="527" spans="1:6" s="31" customFormat="1" x14ac:dyDescent="0.4">
      <c r="A527" s="38"/>
      <c r="D527" s="39"/>
      <c r="F527" s="39"/>
    </row>
    <row r="528" spans="1:6" s="31" customFormat="1" x14ac:dyDescent="0.4">
      <c r="A528" s="38"/>
      <c r="D528" s="39"/>
      <c r="F528" s="39"/>
    </row>
    <row r="529" spans="1:6" s="31" customFormat="1" x14ac:dyDescent="0.4">
      <c r="A529" s="38"/>
      <c r="D529" s="39"/>
      <c r="F529" s="39"/>
    </row>
    <row r="530" spans="1:6" s="31" customFormat="1" x14ac:dyDescent="0.4">
      <c r="A530" s="38"/>
      <c r="D530" s="39"/>
      <c r="F530" s="39"/>
    </row>
    <row r="531" spans="1:6" s="31" customFormat="1" x14ac:dyDescent="0.4">
      <c r="A531" s="38"/>
      <c r="E531" s="39"/>
      <c r="F531" s="39"/>
    </row>
    <row r="532" spans="1:6" s="31" customFormat="1" x14ac:dyDescent="0.4">
      <c r="A532" s="38"/>
      <c r="D532" s="39"/>
      <c r="F532" s="39"/>
    </row>
    <row r="533" spans="1:6" s="31" customFormat="1" x14ac:dyDescent="0.4">
      <c r="A533" s="38"/>
      <c r="F533" s="39"/>
    </row>
    <row r="534" spans="1:6" s="31" customFormat="1" x14ac:dyDescent="0.4">
      <c r="A534" s="38"/>
      <c r="D534" s="39"/>
      <c r="F534" s="39"/>
    </row>
    <row r="535" spans="1:6" s="31" customFormat="1" x14ac:dyDescent="0.4">
      <c r="A535" s="38"/>
      <c r="D535" s="39"/>
      <c r="F535" s="39"/>
    </row>
    <row r="536" spans="1:6" s="31" customFormat="1" x14ac:dyDescent="0.4">
      <c r="A536" s="38"/>
      <c r="D536" s="39"/>
      <c r="F536" s="39"/>
    </row>
    <row r="537" spans="1:6" s="31" customFormat="1" x14ac:dyDescent="0.4">
      <c r="A537" s="38"/>
      <c r="D537" s="39"/>
      <c r="F537" s="39"/>
    </row>
    <row r="538" spans="1:6" s="31" customFormat="1" x14ac:dyDescent="0.4">
      <c r="A538" s="38"/>
      <c r="D538" s="39"/>
      <c r="F538" s="39"/>
    </row>
    <row r="539" spans="1:6" s="31" customFormat="1" x14ac:dyDescent="0.4">
      <c r="A539" s="38"/>
      <c r="D539" s="39"/>
      <c r="F539" s="39"/>
    </row>
    <row r="540" spans="1:6" s="31" customFormat="1" x14ac:dyDescent="0.4">
      <c r="A540" s="38"/>
      <c r="D540" s="39"/>
      <c r="F540" s="39"/>
    </row>
    <row r="541" spans="1:6" s="31" customFormat="1" x14ac:dyDescent="0.4">
      <c r="A541" s="38"/>
      <c r="D541" s="39"/>
      <c r="F541" s="39"/>
    </row>
    <row r="542" spans="1:6" s="31" customFormat="1" x14ac:dyDescent="0.4">
      <c r="A542" s="38"/>
      <c r="E542" s="39"/>
      <c r="F542" s="39"/>
    </row>
    <row r="543" spans="1:6" s="31" customFormat="1" x14ac:dyDescent="0.4">
      <c r="A543" s="38"/>
      <c r="D543" s="39"/>
      <c r="F543" s="39"/>
    </row>
    <row r="544" spans="1:6" s="31" customFormat="1" x14ac:dyDescent="0.4">
      <c r="A544" s="38"/>
      <c r="D544" s="39"/>
      <c r="F544" s="39"/>
    </row>
    <row r="545" spans="1:6" s="31" customFormat="1" x14ac:dyDescent="0.4">
      <c r="A545" s="38"/>
      <c r="D545" s="39"/>
      <c r="F545" s="39"/>
    </row>
    <row r="546" spans="1:6" s="31" customFormat="1" x14ac:dyDescent="0.4">
      <c r="A546" s="38"/>
      <c r="E546" s="39"/>
      <c r="F546" s="39"/>
    </row>
    <row r="547" spans="1:6" s="31" customFormat="1" x14ac:dyDescent="0.4">
      <c r="A547" s="38"/>
      <c r="D547" s="39"/>
      <c r="F547" s="39"/>
    </row>
    <row r="548" spans="1:6" s="31" customFormat="1" x14ac:dyDescent="0.4">
      <c r="A548" s="38"/>
      <c r="F548" s="39"/>
    </row>
    <row r="549" spans="1:6" s="31" customFormat="1" x14ac:dyDescent="0.4">
      <c r="A549" s="38"/>
      <c r="D549" s="39"/>
      <c r="F549" s="39"/>
    </row>
    <row r="550" spans="1:6" s="31" customFormat="1" x14ac:dyDescent="0.4">
      <c r="A550" s="38"/>
      <c r="D550" s="39"/>
      <c r="F550" s="39"/>
    </row>
    <row r="551" spans="1:6" s="31" customFormat="1" x14ac:dyDescent="0.4">
      <c r="A551" s="38"/>
      <c r="D551" s="39"/>
      <c r="F551" s="39"/>
    </row>
    <row r="552" spans="1:6" s="31" customFormat="1" x14ac:dyDescent="0.4">
      <c r="A552" s="38"/>
      <c r="D552" s="39"/>
      <c r="F552" s="39"/>
    </row>
    <row r="553" spans="1:6" s="31" customFormat="1" x14ac:dyDescent="0.4">
      <c r="A553" s="38"/>
      <c r="D553" s="39"/>
      <c r="F553" s="39"/>
    </row>
    <row r="554" spans="1:6" s="31" customFormat="1" x14ac:dyDescent="0.4">
      <c r="A554" s="38"/>
      <c r="D554" s="39"/>
      <c r="F554" s="39"/>
    </row>
    <row r="555" spans="1:6" s="31" customFormat="1" x14ac:dyDescent="0.4">
      <c r="A555" s="38"/>
      <c r="F555" s="39"/>
    </row>
    <row r="556" spans="1:6" s="31" customFormat="1" x14ac:dyDescent="0.4">
      <c r="A556" s="38"/>
      <c r="D556" s="39"/>
      <c r="F556" s="39"/>
    </row>
    <row r="557" spans="1:6" s="31" customFormat="1" x14ac:dyDescent="0.4">
      <c r="A557" s="38"/>
      <c r="D557" s="39"/>
      <c r="F557" s="39"/>
    </row>
    <row r="558" spans="1:6" s="31" customFormat="1" x14ac:dyDescent="0.4">
      <c r="A558" s="38"/>
      <c r="D558" s="39"/>
      <c r="F558" s="39"/>
    </row>
    <row r="559" spans="1:6" s="31" customFormat="1" x14ac:dyDescent="0.4">
      <c r="A559" s="38"/>
      <c r="E559" s="39"/>
      <c r="F559" s="39"/>
    </row>
    <row r="560" spans="1:6" s="31" customFormat="1" x14ac:dyDescent="0.4">
      <c r="A560" s="38"/>
      <c r="D560" s="39"/>
      <c r="F560" s="39"/>
    </row>
    <row r="561" spans="1:6" s="31" customFormat="1" x14ac:dyDescent="0.4">
      <c r="A561" s="38"/>
      <c r="F561" s="39"/>
    </row>
    <row r="562" spans="1:6" s="31" customFormat="1" x14ac:dyDescent="0.4">
      <c r="A562" s="38"/>
      <c r="D562" s="39"/>
      <c r="F562" s="39"/>
    </row>
    <row r="563" spans="1:6" s="31" customFormat="1" x14ac:dyDescent="0.4">
      <c r="A563" s="38"/>
      <c r="D563" s="39"/>
      <c r="F563" s="39"/>
    </row>
    <row r="564" spans="1:6" s="31" customFormat="1" x14ac:dyDescent="0.4">
      <c r="A564" s="38"/>
      <c r="D564" s="39"/>
      <c r="F564" s="39"/>
    </row>
    <row r="565" spans="1:6" s="31" customFormat="1" x14ac:dyDescent="0.4">
      <c r="A565" s="38"/>
      <c r="D565" s="39"/>
      <c r="F565" s="39"/>
    </row>
    <row r="566" spans="1:6" s="31" customFormat="1" x14ac:dyDescent="0.4">
      <c r="A566" s="38"/>
      <c r="D566" s="39"/>
      <c r="F566" s="39"/>
    </row>
    <row r="567" spans="1:6" s="31" customFormat="1" x14ac:dyDescent="0.4">
      <c r="A567" s="38"/>
      <c r="D567" s="39"/>
      <c r="F567" s="39"/>
    </row>
    <row r="568" spans="1:6" s="31" customFormat="1" x14ac:dyDescent="0.4">
      <c r="A568" s="38"/>
      <c r="D568" s="39"/>
      <c r="F568" s="39"/>
    </row>
    <row r="569" spans="1:6" s="31" customFormat="1" x14ac:dyDescent="0.4">
      <c r="A569" s="38"/>
      <c r="E569" s="39"/>
      <c r="F569" s="39"/>
    </row>
    <row r="570" spans="1:6" s="31" customFormat="1" x14ac:dyDescent="0.4">
      <c r="A570" s="38"/>
      <c r="D570" s="39"/>
      <c r="F570" s="39"/>
    </row>
    <row r="571" spans="1:6" s="31" customFormat="1" x14ac:dyDescent="0.4">
      <c r="A571" s="38"/>
      <c r="F571" s="39"/>
    </row>
    <row r="572" spans="1:6" s="31" customFormat="1" x14ac:dyDescent="0.4">
      <c r="A572" s="38"/>
      <c r="D572" s="39"/>
      <c r="F572" s="39"/>
    </row>
    <row r="573" spans="1:6" s="31" customFormat="1" x14ac:dyDescent="0.4">
      <c r="A573" s="38"/>
      <c r="D573" s="39"/>
      <c r="F573" s="39"/>
    </row>
    <row r="574" spans="1:6" s="31" customFormat="1" x14ac:dyDescent="0.4">
      <c r="A574" s="38"/>
      <c r="F574" s="39"/>
    </row>
    <row r="575" spans="1:6" s="31" customFormat="1" x14ac:dyDescent="0.4">
      <c r="A575" s="38"/>
      <c r="D575" s="39"/>
      <c r="F575" s="39"/>
    </row>
    <row r="576" spans="1:6" s="31" customFormat="1" x14ac:dyDescent="0.4">
      <c r="A576" s="38"/>
      <c r="D576" s="39"/>
      <c r="F576" s="39"/>
    </row>
    <row r="577" spans="1:6" s="31" customFormat="1" x14ac:dyDescent="0.4">
      <c r="A577" s="38"/>
      <c r="D577" s="39"/>
      <c r="F577" s="39"/>
    </row>
    <row r="578" spans="1:6" s="31" customFormat="1" x14ac:dyDescent="0.4">
      <c r="A578" s="38"/>
      <c r="D578" s="39"/>
      <c r="F578" s="39"/>
    </row>
    <row r="579" spans="1:6" s="31" customFormat="1" x14ac:dyDescent="0.4">
      <c r="A579" s="38"/>
      <c r="D579" s="39"/>
      <c r="F579" s="39"/>
    </row>
    <row r="580" spans="1:6" s="31" customFormat="1" x14ac:dyDescent="0.4">
      <c r="A580" s="38"/>
      <c r="D580" s="39"/>
      <c r="F580" s="39"/>
    </row>
    <row r="581" spans="1:6" s="31" customFormat="1" x14ac:dyDescent="0.4">
      <c r="A581" s="38"/>
      <c r="E581" s="39"/>
      <c r="F581" s="39"/>
    </row>
    <row r="582" spans="1:6" s="31" customFormat="1" x14ac:dyDescent="0.4">
      <c r="A582" s="38"/>
      <c r="D582" s="39"/>
      <c r="F582" s="39"/>
    </row>
    <row r="583" spans="1:6" s="31" customFormat="1" x14ac:dyDescent="0.4">
      <c r="A583" s="38"/>
      <c r="F583" s="39"/>
    </row>
    <row r="584" spans="1:6" s="31" customFormat="1" x14ac:dyDescent="0.4">
      <c r="A584" s="38"/>
      <c r="D584" s="39"/>
      <c r="F584" s="39"/>
    </row>
    <row r="585" spans="1:6" s="31" customFormat="1" x14ac:dyDescent="0.4">
      <c r="A585" s="38"/>
      <c r="D585" s="39"/>
      <c r="F585" s="39"/>
    </row>
    <row r="586" spans="1:6" s="31" customFormat="1" x14ac:dyDescent="0.4">
      <c r="A586" s="38"/>
      <c r="D586" s="39"/>
      <c r="F586" s="39"/>
    </row>
    <row r="587" spans="1:6" s="31" customFormat="1" x14ac:dyDescent="0.4">
      <c r="A587" s="38"/>
      <c r="D587" s="39"/>
      <c r="F587" s="39"/>
    </row>
    <row r="588" spans="1:6" s="31" customFormat="1" x14ac:dyDescent="0.4">
      <c r="A588" s="38"/>
      <c r="E588" s="39"/>
      <c r="F588" s="39"/>
    </row>
    <row r="589" spans="1:6" s="31" customFormat="1" x14ac:dyDescent="0.4">
      <c r="A589" s="38"/>
      <c r="E589" s="39"/>
      <c r="F589" s="39"/>
    </row>
    <row r="590" spans="1:6" s="31" customFormat="1" x14ac:dyDescent="0.4">
      <c r="A590" s="38"/>
      <c r="D590" s="39"/>
      <c r="F590" s="39"/>
    </row>
    <row r="591" spans="1:6" s="31" customFormat="1" x14ac:dyDescent="0.4">
      <c r="A591" s="38"/>
      <c r="D591" s="39"/>
      <c r="F591" s="39"/>
    </row>
    <row r="592" spans="1:6" s="31" customFormat="1" x14ac:dyDescent="0.4">
      <c r="A592" s="38"/>
      <c r="D592" s="39"/>
      <c r="F592" s="39"/>
    </row>
    <row r="593" spans="1:6" s="31" customFormat="1" x14ac:dyDescent="0.4">
      <c r="A593" s="38"/>
      <c r="D593" s="39"/>
      <c r="F593" s="39"/>
    </row>
    <row r="594" spans="1:6" s="31" customFormat="1" x14ac:dyDescent="0.4">
      <c r="A594" s="38"/>
      <c r="E594" s="39"/>
      <c r="F594" s="39"/>
    </row>
    <row r="595" spans="1:6" s="31" customFormat="1" x14ac:dyDescent="0.4">
      <c r="A595" s="38"/>
      <c r="D595" s="39"/>
      <c r="F595" s="39"/>
    </row>
    <row r="596" spans="1:6" s="31" customFormat="1" x14ac:dyDescent="0.4">
      <c r="A596" s="38"/>
      <c r="F596" s="39"/>
    </row>
    <row r="597" spans="1:6" s="31" customFormat="1" x14ac:dyDescent="0.4">
      <c r="A597" s="38"/>
      <c r="D597" s="39"/>
      <c r="F597" s="39"/>
    </row>
    <row r="598" spans="1:6" s="31" customFormat="1" x14ac:dyDescent="0.4">
      <c r="A598" s="38"/>
      <c r="D598" s="39"/>
      <c r="F598" s="39"/>
    </row>
    <row r="599" spans="1:6" s="31" customFormat="1" x14ac:dyDescent="0.4">
      <c r="A599" s="38"/>
      <c r="D599" s="39"/>
      <c r="F599" s="39"/>
    </row>
    <row r="600" spans="1:6" s="31" customFormat="1" x14ac:dyDescent="0.4">
      <c r="A600" s="38"/>
      <c r="D600" s="39"/>
      <c r="F600" s="39"/>
    </row>
    <row r="601" spans="1:6" s="31" customFormat="1" x14ac:dyDescent="0.4">
      <c r="A601" s="38"/>
      <c r="D601" s="39"/>
      <c r="F601" s="39"/>
    </row>
    <row r="602" spans="1:6" s="31" customFormat="1" x14ac:dyDescent="0.4">
      <c r="A602" s="38"/>
      <c r="D602" s="39"/>
      <c r="F602" s="39"/>
    </row>
    <row r="603" spans="1:6" s="31" customFormat="1" x14ac:dyDescent="0.4">
      <c r="A603" s="38"/>
      <c r="D603" s="39"/>
      <c r="F603" s="39"/>
    </row>
    <row r="604" spans="1:6" s="31" customFormat="1" x14ac:dyDescent="0.4">
      <c r="A604" s="38"/>
      <c r="E604" s="39"/>
      <c r="F604" s="39"/>
    </row>
    <row r="605" spans="1:6" s="31" customFormat="1" x14ac:dyDescent="0.4">
      <c r="A605" s="38"/>
      <c r="D605" s="39"/>
      <c r="F605" s="39"/>
    </row>
    <row r="606" spans="1:6" s="31" customFormat="1" x14ac:dyDescent="0.4">
      <c r="A606" s="38"/>
      <c r="F606" s="39"/>
    </row>
    <row r="607" spans="1:6" s="31" customFormat="1" x14ac:dyDescent="0.4">
      <c r="A607" s="38"/>
      <c r="D607" s="39"/>
      <c r="F607" s="39"/>
    </row>
    <row r="608" spans="1:6" s="31" customFormat="1" x14ac:dyDescent="0.4">
      <c r="A608" s="38"/>
      <c r="D608" s="39"/>
      <c r="F608" s="39"/>
    </row>
    <row r="609" spans="1:6" s="31" customFormat="1" x14ac:dyDescent="0.4">
      <c r="A609" s="38"/>
      <c r="D609" s="39"/>
      <c r="F609" s="39"/>
    </row>
    <row r="610" spans="1:6" s="31" customFormat="1" x14ac:dyDescent="0.4">
      <c r="A610" s="38"/>
      <c r="D610" s="39"/>
      <c r="F610" s="39"/>
    </row>
    <row r="611" spans="1:6" s="31" customFormat="1" x14ac:dyDescent="0.4">
      <c r="A611" s="38"/>
      <c r="D611" s="39"/>
      <c r="F611" s="39"/>
    </row>
    <row r="612" spans="1:6" s="31" customFormat="1" x14ac:dyDescent="0.4">
      <c r="A612" s="38"/>
      <c r="D612" s="39"/>
      <c r="F612" s="39"/>
    </row>
    <row r="613" spans="1:6" s="31" customFormat="1" x14ac:dyDescent="0.4">
      <c r="A613" s="38"/>
      <c r="D613" s="39"/>
      <c r="F613" s="39"/>
    </row>
    <row r="614" spans="1:6" s="31" customFormat="1" x14ac:dyDescent="0.4">
      <c r="A614" s="38"/>
      <c r="E614" s="39"/>
      <c r="F614" s="39"/>
    </row>
    <row r="615" spans="1:6" s="31" customFormat="1" x14ac:dyDescent="0.4">
      <c r="A615" s="38"/>
      <c r="D615" s="39"/>
      <c r="F615" s="39"/>
    </row>
    <row r="616" spans="1:6" s="31" customFormat="1" x14ac:dyDescent="0.4">
      <c r="A616" s="38"/>
      <c r="F616" s="39"/>
    </row>
    <row r="617" spans="1:6" s="31" customFormat="1" x14ac:dyDescent="0.4">
      <c r="A617" s="38"/>
      <c r="D617" s="39"/>
      <c r="F617" s="39"/>
    </row>
    <row r="618" spans="1:6" s="31" customFormat="1" x14ac:dyDescent="0.4">
      <c r="A618" s="38"/>
      <c r="D618" s="39"/>
      <c r="F618" s="39"/>
    </row>
    <row r="619" spans="1:6" s="31" customFormat="1" x14ac:dyDescent="0.4">
      <c r="A619" s="38"/>
      <c r="D619" s="39"/>
      <c r="F619" s="39"/>
    </row>
    <row r="620" spans="1:6" s="31" customFormat="1" x14ac:dyDescent="0.4">
      <c r="A620" s="38"/>
      <c r="D620" s="39"/>
      <c r="F620" s="39"/>
    </row>
    <row r="621" spans="1:6" s="31" customFormat="1" x14ac:dyDescent="0.4">
      <c r="A621" s="38"/>
      <c r="E621" s="39"/>
      <c r="F621" s="39"/>
    </row>
    <row r="622" spans="1:6" s="31" customFormat="1" x14ac:dyDescent="0.4">
      <c r="A622" s="38"/>
      <c r="F622" s="39"/>
    </row>
    <row r="623" spans="1:6" s="31" customFormat="1" x14ac:dyDescent="0.4">
      <c r="A623" s="38"/>
      <c r="D623" s="39"/>
      <c r="F623" s="39"/>
    </row>
    <row r="624" spans="1:6" s="31" customFormat="1" x14ac:dyDescent="0.4">
      <c r="A624" s="38"/>
      <c r="D624" s="39"/>
      <c r="F624" s="39"/>
    </row>
    <row r="625" spans="1:6" s="31" customFormat="1" x14ac:dyDescent="0.4">
      <c r="A625" s="38"/>
      <c r="D625" s="39"/>
      <c r="F625" s="39"/>
    </row>
    <row r="626" spans="1:6" s="31" customFormat="1" x14ac:dyDescent="0.4">
      <c r="A626" s="38"/>
      <c r="D626" s="39"/>
      <c r="F626" s="39"/>
    </row>
    <row r="627" spans="1:6" s="31" customFormat="1" x14ac:dyDescent="0.4">
      <c r="A627" s="38"/>
      <c r="F627" s="39"/>
    </row>
    <row r="628" spans="1:6" s="31" customFormat="1" x14ac:dyDescent="0.4">
      <c r="A628" s="38"/>
      <c r="E628" s="39"/>
      <c r="F628" s="39"/>
    </row>
    <row r="629" spans="1:6" s="31" customFormat="1" x14ac:dyDescent="0.4">
      <c r="A629" s="38"/>
      <c r="D629" s="39"/>
      <c r="F629" s="39"/>
    </row>
    <row r="630" spans="1:6" s="31" customFormat="1" x14ac:dyDescent="0.4">
      <c r="A630" s="38"/>
      <c r="F630" s="39"/>
    </row>
    <row r="631" spans="1:6" s="31" customFormat="1" x14ac:dyDescent="0.4">
      <c r="A631" s="38"/>
      <c r="D631" s="39"/>
      <c r="F631" s="39"/>
    </row>
    <row r="632" spans="1:6" s="31" customFormat="1" x14ac:dyDescent="0.4">
      <c r="A632" s="38"/>
      <c r="D632" s="39"/>
      <c r="F632" s="39"/>
    </row>
    <row r="633" spans="1:6" s="31" customFormat="1" x14ac:dyDescent="0.4">
      <c r="A633" s="38"/>
      <c r="D633" s="39"/>
      <c r="F633" s="39"/>
    </row>
    <row r="634" spans="1:6" s="31" customFormat="1" x14ac:dyDescent="0.4">
      <c r="A634" s="38"/>
      <c r="D634" s="39"/>
      <c r="F634" s="39"/>
    </row>
    <row r="635" spans="1:6" s="31" customFormat="1" x14ac:dyDescent="0.4">
      <c r="A635" s="38"/>
      <c r="D635" s="39"/>
      <c r="F635" s="39"/>
    </row>
    <row r="636" spans="1:6" s="31" customFormat="1" x14ac:dyDescent="0.4">
      <c r="A636" s="38"/>
      <c r="D636" s="39"/>
      <c r="F636" s="39"/>
    </row>
    <row r="637" spans="1:6" s="31" customFormat="1" x14ac:dyDescent="0.4">
      <c r="A637" s="38"/>
      <c r="D637" s="39"/>
      <c r="F637" s="39"/>
    </row>
    <row r="638" spans="1:6" s="31" customFormat="1" x14ac:dyDescent="0.4">
      <c r="A638" s="38"/>
      <c r="D638" s="39"/>
      <c r="F638" s="39"/>
    </row>
    <row r="639" spans="1:6" s="31" customFormat="1" x14ac:dyDescent="0.4">
      <c r="A639" s="38"/>
      <c r="E639" s="39"/>
      <c r="F639" s="39"/>
    </row>
    <row r="640" spans="1:6" s="31" customFormat="1" x14ac:dyDescent="0.4">
      <c r="A640" s="38"/>
      <c r="D640" s="39"/>
      <c r="F640" s="39"/>
    </row>
    <row r="641" spans="1:6" s="31" customFormat="1" x14ac:dyDescent="0.4">
      <c r="A641" s="38"/>
      <c r="F641" s="39"/>
    </row>
    <row r="642" spans="1:6" s="31" customFormat="1" x14ac:dyDescent="0.4">
      <c r="A642" s="38"/>
      <c r="D642" s="39"/>
      <c r="F642" s="39"/>
    </row>
    <row r="643" spans="1:6" s="31" customFormat="1" x14ac:dyDescent="0.4">
      <c r="A643" s="38"/>
      <c r="D643" s="39"/>
      <c r="F643" s="39"/>
    </row>
    <row r="644" spans="1:6" s="31" customFormat="1" x14ac:dyDescent="0.4">
      <c r="A644" s="38"/>
      <c r="D644" s="39"/>
      <c r="F644" s="39"/>
    </row>
    <row r="645" spans="1:6" s="31" customFormat="1" x14ac:dyDescent="0.4">
      <c r="A645" s="38"/>
      <c r="D645" s="39"/>
      <c r="F645" s="39"/>
    </row>
    <row r="646" spans="1:6" s="31" customFormat="1" x14ac:dyDescent="0.4">
      <c r="A646" s="38"/>
      <c r="D646" s="39"/>
      <c r="F646" s="39"/>
    </row>
    <row r="647" spans="1:6" s="31" customFormat="1" x14ac:dyDescent="0.4">
      <c r="A647" s="38"/>
      <c r="D647" s="39"/>
      <c r="F647" s="39"/>
    </row>
    <row r="648" spans="1:6" s="31" customFormat="1" x14ac:dyDescent="0.4">
      <c r="A648" s="38"/>
      <c r="D648" s="39"/>
      <c r="F648" s="39"/>
    </row>
    <row r="649" spans="1:6" s="31" customFormat="1" x14ac:dyDescent="0.4">
      <c r="A649" s="38"/>
      <c r="D649" s="39"/>
      <c r="F649" s="39"/>
    </row>
    <row r="650" spans="1:6" s="31" customFormat="1" x14ac:dyDescent="0.4">
      <c r="A650" s="38"/>
      <c r="E650" s="39"/>
      <c r="F650" s="39"/>
    </row>
    <row r="651" spans="1:6" s="31" customFormat="1" x14ac:dyDescent="0.4">
      <c r="A651" s="38"/>
      <c r="D651" s="39"/>
      <c r="F651" s="39"/>
    </row>
    <row r="652" spans="1:6" s="31" customFormat="1" x14ac:dyDescent="0.4">
      <c r="A652" s="38"/>
      <c r="D652" s="39"/>
      <c r="F652" s="39"/>
    </row>
    <row r="653" spans="1:6" s="31" customFormat="1" x14ac:dyDescent="0.4">
      <c r="A653" s="38"/>
      <c r="D653" s="39"/>
      <c r="F653" s="39"/>
    </row>
    <row r="654" spans="1:6" s="31" customFormat="1" x14ac:dyDescent="0.4">
      <c r="A654" s="38"/>
      <c r="E654" s="39"/>
      <c r="F654" s="39"/>
    </row>
    <row r="655" spans="1:6" s="31" customFormat="1" x14ac:dyDescent="0.4">
      <c r="A655" s="38"/>
      <c r="D655" s="39"/>
      <c r="F655" s="39"/>
    </row>
    <row r="656" spans="1:6" s="31" customFormat="1" x14ac:dyDescent="0.4">
      <c r="A656" s="38"/>
      <c r="F656" s="39"/>
    </row>
    <row r="657" spans="1:6" s="31" customFormat="1" x14ac:dyDescent="0.4">
      <c r="A657" s="38"/>
      <c r="D657" s="39"/>
      <c r="F657" s="39"/>
    </row>
    <row r="658" spans="1:6" s="31" customFormat="1" x14ac:dyDescent="0.4">
      <c r="A658" s="38"/>
      <c r="D658" s="39"/>
      <c r="F658" s="39"/>
    </row>
    <row r="659" spans="1:6" s="31" customFormat="1" x14ac:dyDescent="0.4">
      <c r="A659" s="38"/>
      <c r="D659" s="39"/>
      <c r="F659" s="39"/>
    </row>
    <row r="660" spans="1:6" s="31" customFormat="1" x14ac:dyDescent="0.4">
      <c r="A660" s="38"/>
      <c r="D660" s="39"/>
      <c r="F660" s="39"/>
    </row>
    <row r="661" spans="1:6" s="31" customFormat="1" x14ac:dyDescent="0.4">
      <c r="A661" s="38"/>
      <c r="D661" s="39"/>
      <c r="F661" s="39"/>
    </row>
    <row r="662" spans="1:6" s="31" customFormat="1" x14ac:dyDescent="0.4">
      <c r="A662" s="38"/>
      <c r="D662" s="39"/>
      <c r="F662" s="39"/>
    </row>
    <row r="663" spans="1:6" s="31" customFormat="1" x14ac:dyDescent="0.4">
      <c r="A663" s="38"/>
      <c r="F663" s="39"/>
    </row>
    <row r="664" spans="1:6" s="31" customFormat="1" x14ac:dyDescent="0.4">
      <c r="A664" s="38"/>
      <c r="D664" s="39"/>
      <c r="F664" s="39"/>
    </row>
    <row r="665" spans="1:6" s="31" customFormat="1" x14ac:dyDescent="0.4">
      <c r="A665" s="38"/>
      <c r="D665" s="39"/>
      <c r="F665" s="39"/>
    </row>
    <row r="666" spans="1:6" s="31" customFormat="1" x14ac:dyDescent="0.4">
      <c r="A666" s="38"/>
      <c r="D666" s="39"/>
      <c r="F666" s="39"/>
    </row>
    <row r="667" spans="1:6" s="31" customFormat="1" x14ac:dyDescent="0.4">
      <c r="A667" s="38"/>
      <c r="E667" s="39"/>
      <c r="F667" s="39"/>
    </row>
    <row r="668" spans="1:6" s="31" customFormat="1" x14ac:dyDescent="0.4">
      <c r="A668" s="38"/>
      <c r="D668" s="39"/>
      <c r="F668" s="39"/>
    </row>
    <row r="669" spans="1:6" s="31" customFormat="1" x14ac:dyDescent="0.4">
      <c r="A669" s="38"/>
      <c r="F669" s="39"/>
    </row>
    <row r="670" spans="1:6" s="31" customFormat="1" x14ac:dyDescent="0.4">
      <c r="A670" s="38"/>
      <c r="D670" s="39"/>
      <c r="F670" s="39"/>
    </row>
    <row r="671" spans="1:6" s="31" customFormat="1" x14ac:dyDescent="0.4">
      <c r="A671" s="38"/>
      <c r="D671" s="39"/>
      <c r="F671" s="39"/>
    </row>
    <row r="672" spans="1:6" s="31" customFormat="1" x14ac:dyDescent="0.4">
      <c r="A672" s="38"/>
      <c r="D672" s="39"/>
      <c r="F672" s="39"/>
    </row>
    <row r="673" spans="1:6" s="31" customFormat="1" x14ac:dyDescent="0.4">
      <c r="A673" s="38"/>
      <c r="D673" s="39"/>
      <c r="F673" s="39"/>
    </row>
    <row r="674" spans="1:6" s="31" customFormat="1" x14ac:dyDescent="0.4">
      <c r="A674" s="38"/>
      <c r="D674" s="39"/>
      <c r="F674" s="39"/>
    </row>
    <row r="675" spans="1:6" s="31" customFormat="1" x14ac:dyDescent="0.4">
      <c r="A675" s="38"/>
      <c r="D675" s="39"/>
      <c r="F675" s="39"/>
    </row>
    <row r="676" spans="1:6" s="31" customFormat="1" x14ac:dyDescent="0.4">
      <c r="A676" s="38"/>
      <c r="D676" s="39"/>
      <c r="F676" s="39"/>
    </row>
    <row r="677" spans="1:6" s="31" customFormat="1" x14ac:dyDescent="0.4">
      <c r="A677" s="38"/>
      <c r="E677" s="39"/>
      <c r="F677" s="39"/>
    </row>
    <row r="678" spans="1:6" s="31" customFormat="1" x14ac:dyDescent="0.4">
      <c r="A678" s="38"/>
      <c r="D678" s="39"/>
      <c r="F678" s="39"/>
    </row>
    <row r="679" spans="1:6" s="31" customFormat="1" x14ac:dyDescent="0.4">
      <c r="A679" s="38"/>
      <c r="F679" s="39"/>
    </row>
    <row r="680" spans="1:6" s="31" customFormat="1" x14ac:dyDescent="0.4">
      <c r="A680" s="38"/>
      <c r="D680" s="39"/>
      <c r="F680" s="39"/>
    </row>
    <row r="681" spans="1:6" s="31" customFormat="1" x14ac:dyDescent="0.4">
      <c r="A681" s="38"/>
      <c r="D681" s="39"/>
      <c r="F681" s="39"/>
    </row>
    <row r="682" spans="1:6" s="31" customFormat="1" x14ac:dyDescent="0.4">
      <c r="A682" s="38"/>
      <c r="F682" s="39"/>
    </row>
    <row r="683" spans="1:6" s="31" customFormat="1" x14ac:dyDescent="0.4">
      <c r="A683" s="38"/>
      <c r="D683" s="39"/>
      <c r="F683" s="39"/>
    </row>
    <row r="684" spans="1:6" s="31" customFormat="1" x14ac:dyDescent="0.4">
      <c r="A684" s="38"/>
      <c r="D684" s="39"/>
      <c r="F684" s="39"/>
    </row>
    <row r="685" spans="1:6" s="31" customFormat="1" x14ac:dyDescent="0.4">
      <c r="A685" s="38"/>
      <c r="D685" s="39"/>
      <c r="F685" s="39"/>
    </row>
    <row r="686" spans="1:6" s="31" customFormat="1" x14ac:dyDescent="0.4">
      <c r="A686" s="38"/>
      <c r="D686" s="39"/>
      <c r="F686" s="39"/>
    </row>
    <row r="687" spans="1:6" s="31" customFormat="1" x14ac:dyDescent="0.4">
      <c r="A687" s="38"/>
      <c r="D687" s="39"/>
      <c r="F687" s="39"/>
    </row>
    <row r="688" spans="1:6" s="31" customFormat="1" x14ac:dyDescent="0.4">
      <c r="A688" s="38"/>
      <c r="D688" s="39"/>
      <c r="F688" s="39"/>
    </row>
    <row r="689" spans="1:6" s="31" customFormat="1" x14ac:dyDescent="0.4">
      <c r="A689" s="38"/>
      <c r="E689" s="39"/>
      <c r="F689" s="39"/>
    </row>
    <row r="690" spans="1:6" s="31" customFormat="1" x14ac:dyDescent="0.4">
      <c r="A690" s="38"/>
      <c r="D690" s="39"/>
      <c r="F690" s="39"/>
    </row>
    <row r="691" spans="1:6" s="31" customFormat="1" x14ac:dyDescent="0.4">
      <c r="A691" s="38"/>
      <c r="F691" s="39"/>
    </row>
    <row r="692" spans="1:6" s="31" customFormat="1" x14ac:dyDescent="0.4">
      <c r="A692" s="38"/>
      <c r="D692" s="39"/>
      <c r="F692" s="39"/>
    </row>
    <row r="693" spans="1:6" s="31" customFormat="1" x14ac:dyDescent="0.4">
      <c r="A693" s="38"/>
      <c r="D693" s="39"/>
      <c r="F693" s="39"/>
    </row>
    <row r="694" spans="1:6" s="31" customFormat="1" x14ac:dyDescent="0.4">
      <c r="A694" s="38"/>
      <c r="D694" s="39"/>
      <c r="F694" s="39"/>
    </row>
    <row r="695" spans="1:6" s="31" customFormat="1" x14ac:dyDescent="0.4">
      <c r="A695" s="38"/>
      <c r="D695" s="39"/>
      <c r="F695" s="39"/>
    </row>
    <row r="696" spans="1:6" s="31" customFormat="1" x14ac:dyDescent="0.4">
      <c r="A696" s="38"/>
      <c r="E696" s="39"/>
      <c r="F696" s="39"/>
    </row>
    <row r="697" spans="1:6" s="31" customFormat="1" x14ac:dyDescent="0.4">
      <c r="A697" s="38"/>
      <c r="E697" s="39"/>
      <c r="F697" s="39"/>
    </row>
    <row r="698" spans="1:6" s="31" customFormat="1" x14ac:dyDescent="0.4">
      <c r="A698" s="38"/>
      <c r="D698" s="39"/>
      <c r="F698" s="39"/>
    </row>
    <row r="699" spans="1:6" s="31" customFormat="1" x14ac:dyDescent="0.4">
      <c r="A699" s="38"/>
      <c r="D699" s="39"/>
      <c r="F699" s="39"/>
    </row>
    <row r="700" spans="1:6" s="31" customFormat="1" x14ac:dyDescent="0.4">
      <c r="A700" s="38"/>
      <c r="D700" s="39"/>
      <c r="F700" s="39"/>
    </row>
    <row r="701" spans="1:6" s="31" customFormat="1" x14ac:dyDescent="0.4">
      <c r="A701" s="38"/>
      <c r="D701" s="39"/>
      <c r="F701" s="39"/>
    </row>
    <row r="702" spans="1:6" s="31" customFormat="1" x14ac:dyDescent="0.4">
      <c r="A702" s="38"/>
      <c r="E702" s="39"/>
      <c r="F702" s="39"/>
    </row>
    <row r="703" spans="1:6" s="31" customFormat="1" x14ac:dyDescent="0.4">
      <c r="A703" s="38"/>
      <c r="D703" s="39"/>
      <c r="F703" s="39"/>
    </row>
    <row r="704" spans="1:6" s="31" customFormat="1" x14ac:dyDescent="0.4">
      <c r="A704" s="38"/>
      <c r="F704" s="39"/>
    </row>
    <row r="705" spans="1:6" s="31" customFormat="1" x14ac:dyDescent="0.4">
      <c r="A705" s="38"/>
      <c r="D705" s="39"/>
      <c r="F705" s="39"/>
    </row>
    <row r="706" spans="1:6" s="31" customFormat="1" x14ac:dyDescent="0.4">
      <c r="A706" s="38"/>
      <c r="D706" s="39"/>
      <c r="F706" s="39"/>
    </row>
    <row r="707" spans="1:6" s="31" customFormat="1" x14ac:dyDescent="0.4">
      <c r="A707" s="38"/>
      <c r="D707" s="39"/>
      <c r="F707" s="39"/>
    </row>
    <row r="708" spans="1:6" s="31" customFormat="1" x14ac:dyDescent="0.4">
      <c r="A708" s="38"/>
      <c r="D708" s="39"/>
      <c r="F708" s="39"/>
    </row>
    <row r="709" spans="1:6" s="31" customFormat="1" x14ac:dyDescent="0.4">
      <c r="A709" s="38"/>
      <c r="D709" s="39"/>
      <c r="F709" s="39"/>
    </row>
    <row r="710" spans="1:6" s="31" customFormat="1" x14ac:dyDescent="0.4">
      <c r="A710" s="38"/>
      <c r="D710" s="39"/>
      <c r="F710" s="39"/>
    </row>
    <row r="711" spans="1:6" s="31" customFormat="1" x14ac:dyDescent="0.4">
      <c r="A711" s="38"/>
      <c r="D711" s="39"/>
      <c r="F711" s="39"/>
    </row>
    <row r="712" spans="1:6" s="31" customFormat="1" x14ac:dyDescent="0.4">
      <c r="A712" s="38"/>
      <c r="E712" s="39"/>
      <c r="F712" s="39"/>
    </row>
    <row r="713" spans="1:6" s="31" customFormat="1" x14ac:dyDescent="0.4">
      <c r="A713" s="38"/>
      <c r="D713" s="39"/>
      <c r="F713" s="39"/>
    </row>
    <row r="714" spans="1:6" s="31" customFormat="1" x14ac:dyDescent="0.4">
      <c r="A714" s="38"/>
      <c r="F714" s="39"/>
    </row>
    <row r="715" spans="1:6" s="31" customFormat="1" x14ac:dyDescent="0.4">
      <c r="A715" s="38"/>
      <c r="D715" s="39"/>
      <c r="F715" s="39"/>
    </row>
    <row r="716" spans="1:6" s="31" customFormat="1" x14ac:dyDescent="0.4">
      <c r="A716" s="38"/>
      <c r="D716" s="39"/>
      <c r="F716" s="39"/>
    </row>
    <row r="717" spans="1:6" s="31" customFormat="1" x14ac:dyDescent="0.4">
      <c r="A717" s="38"/>
      <c r="D717" s="39"/>
      <c r="F717" s="39"/>
    </row>
    <row r="718" spans="1:6" s="31" customFormat="1" x14ac:dyDescent="0.4">
      <c r="A718" s="38"/>
      <c r="D718" s="39"/>
      <c r="F718" s="39"/>
    </row>
    <row r="719" spans="1:6" s="31" customFormat="1" x14ac:dyDescent="0.4">
      <c r="A719" s="38"/>
      <c r="D719" s="39"/>
      <c r="F719" s="39"/>
    </row>
    <row r="720" spans="1:6" s="31" customFormat="1" x14ac:dyDescent="0.4">
      <c r="A720" s="38"/>
      <c r="D720" s="39"/>
      <c r="F720" s="39"/>
    </row>
    <row r="721" spans="1:6" s="31" customFormat="1" x14ac:dyDescent="0.4">
      <c r="A721" s="38"/>
      <c r="D721" s="39"/>
      <c r="F721" s="39"/>
    </row>
    <row r="722" spans="1:6" s="31" customFormat="1" x14ac:dyDescent="0.4">
      <c r="A722" s="38"/>
      <c r="E722" s="39"/>
      <c r="F722" s="39"/>
    </row>
    <row r="723" spans="1:6" s="31" customFormat="1" x14ac:dyDescent="0.4">
      <c r="A723" s="38"/>
      <c r="D723" s="39"/>
      <c r="F723" s="39"/>
    </row>
    <row r="724" spans="1:6" s="31" customFormat="1" x14ac:dyDescent="0.4">
      <c r="A724" s="38"/>
      <c r="F724" s="39"/>
    </row>
    <row r="725" spans="1:6" s="31" customFormat="1" x14ac:dyDescent="0.4">
      <c r="A725" s="38"/>
      <c r="D725" s="39"/>
      <c r="F725" s="39"/>
    </row>
    <row r="726" spans="1:6" s="31" customFormat="1" x14ac:dyDescent="0.4">
      <c r="A726" s="38"/>
      <c r="D726" s="39"/>
      <c r="F726" s="39"/>
    </row>
    <row r="727" spans="1:6" s="31" customFormat="1" x14ac:dyDescent="0.4">
      <c r="A727" s="38"/>
      <c r="D727" s="39"/>
      <c r="F727" s="39"/>
    </row>
    <row r="728" spans="1:6" s="31" customFormat="1" x14ac:dyDescent="0.4">
      <c r="A728" s="38"/>
      <c r="D728" s="39"/>
      <c r="F728" s="39"/>
    </row>
    <row r="729" spans="1:6" s="31" customFormat="1" x14ac:dyDescent="0.4">
      <c r="A729" s="38"/>
      <c r="E729" s="39"/>
      <c r="F729" s="39"/>
    </row>
    <row r="730" spans="1:6" s="31" customFormat="1" x14ac:dyDescent="0.4">
      <c r="A730" s="38"/>
      <c r="F730" s="39"/>
    </row>
    <row r="731" spans="1:6" s="31" customFormat="1" x14ac:dyDescent="0.4">
      <c r="A731" s="38"/>
      <c r="D731" s="39"/>
      <c r="F731" s="39"/>
    </row>
    <row r="732" spans="1:6" s="31" customFormat="1" x14ac:dyDescent="0.4">
      <c r="A732" s="38"/>
      <c r="D732" s="39"/>
      <c r="F732" s="39"/>
    </row>
    <row r="733" spans="1:6" s="31" customFormat="1" x14ac:dyDescent="0.4">
      <c r="A733" s="38"/>
      <c r="D733" s="39"/>
      <c r="F733" s="39"/>
    </row>
    <row r="734" spans="1:6" s="31" customFormat="1" x14ac:dyDescent="0.4">
      <c r="A734" s="38"/>
      <c r="D734" s="39"/>
      <c r="F734" s="39"/>
    </row>
    <row r="735" spans="1:6" s="31" customFormat="1" x14ac:dyDescent="0.4">
      <c r="A735" s="38"/>
      <c r="F735" s="39"/>
    </row>
    <row r="736" spans="1:6" s="31" customFormat="1" x14ac:dyDescent="0.4">
      <c r="A736" s="38"/>
      <c r="E736" s="39"/>
      <c r="F736" s="39"/>
    </row>
    <row r="737" spans="1:6" s="31" customFormat="1" x14ac:dyDescent="0.4">
      <c r="A737" s="38"/>
      <c r="D737" s="39"/>
      <c r="F737" s="39"/>
    </row>
    <row r="738" spans="1:6" s="31" customFormat="1" x14ac:dyDescent="0.4">
      <c r="A738" s="38"/>
      <c r="F738" s="39"/>
    </row>
    <row r="739" spans="1:6" s="31" customFormat="1" x14ac:dyDescent="0.4">
      <c r="A739" s="38"/>
      <c r="D739" s="39"/>
      <c r="F739" s="39"/>
    </row>
    <row r="740" spans="1:6" s="31" customFormat="1" x14ac:dyDescent="0.4">
      <c r="A740" s="38"/>
      <c r="D740" s="39"/>
      <c r="F740" s="39"/>
    </row>
    <row r="741" spans="1:6" s="31" customFormat="1" x14ac:dyDescent="0.4">
      <c r="A741" s="38"/>
      <c r="D741" s="39"/>
      <c r="F741" s="39"/>
    </row>
    <row r="742" spans="1:6" s="31" customFormat="1" x14ac:dyDescent="0.4">
      <c r="A742" s="38"/>
      <c r="D742" s="39"/>
      <c r="F742" s="39"/>
    </row>
    <row r="743" spans="1:6" s="31" customFormat="1" x14ac:dyDescent="0.4">
      <c r="A743" s="38"/>
      <c r="D743" s="39"/>
      <c r="F743" s="39"/>
    </row>
    <row r="744" spans="1:6" s="31" customFormat="1" x14ac:dyDescent="0.4">
      <c r="A744" s="38"/>
      <c r="D744" s="39"/>
      <c r="F744" s="39"/>
    </row>
    <row r="745" spans="1:6" s="31" customFormat="1" x14ac:dyDescent="0.4">
      <c r="A745" s="38"/>
      <c r="D745" s="39"/>
      <c r="F745" s="39"/>
    </row>
    <row r="746" spans="1:6" s="31" customFormat="1" x14ac:dyDescent="0.4">
      <c r="A746" s="38"/>
      <c r="D746" s="39"/>
      <c r="F746" s="39"/>
    </row>
    <row r="747" spans="1:6" s="31" customFormat="1" x14ac:dyDescent="0.4">
      <c r="A747" s="38"/>
      <c r="E747" s="39"/>
      <c r="F747" s="39"/>
    </row>
    <row r="748" spans="1:6" s="31" customFormat="1" x14ac:dyDescent="0.4">
      <c r="A748" s="38"/>
      <c r="D748" s="39"/>
      <c r="F748" s="39"/>
    </row>
    <row r="749" spans="1:6" s="31" customFormat="1" x14ac:dyDescent="0.4">
      <c r="A749" s="38"/>
      <c r="F749" s="39"/>
    </row>
    <row r="750" spans="1:6" s="31" customFormat="1" x14ac:dyDescent="0.4">
      <c r="A750" s="38"/>
      <c r="D750" s="39"/>
      <c r="F750" s="39"/>
    </row>
    <row r="751" spans="1:6" s="31" customFormat="1" x14ac:dyDescent="0.4">
      <c r="A751" s="38"/>
      <c r="D751" s="39"/>
      <c r="F751" s="39"/>
    </row>
    <row r="752" spans="1:6" s="31" customFormat="1" x14ac:dyDescent="0.4">
      <c r="A752" s="38"/>
      <c r="D752" s="39"/>
      <c r="F752" s="39"/>
    </row>
    <row r="753" spans="1:6" s="31" customFormat="1" x14ac:dyDescent="0.4">
      <c r="A753" s="38"/>
      <c r="D753" s="39"/>
      <c r="F753" s="39"/>
    </row>
    <row r="754" spans="1:6" s="31" customFormat="1" x14ac:dyDescent="0.4">
      <c r="A754" s="38"/>
      <c r="D754" s="39"/>
      <c r="F754" s="39"/>
    </row>
    <row r="755" spans="1:6" s="31" customFormat="1" x14ac:dyDescent="0.4">
      <c r="A755" s="38"/>
      <c r="D755" s="39"/>
      <c r="F755" s="39"/>
    </row>
    <row r="756" spans="1:6" s="31" customFormat="1" x14ac:dyDescent="0.4">
      <c r="A756" s="38"/>
      <c r="D756" s="39"/>
      <c r="F756" s="39"/>
    </row>
    <row r="757" spans="1:6" s="31" customFormat="1" x14ac:dyDescent="0.4">
      <c r="A757" s="38"/>
      <c r="D757" s="39"/>
      <c r="F757" s="39"/>
    </row>
    <row r="758" spans="1:6" s="31" customFormat="1" x14ac:dyDescent="0.4">
      <c r="A758" s="38"/>
      <c r="E758" s="39"/>
      <c r="F758" s="39"/>
    </row>
    <row r="759" spans="1:6" s="31" customFormat="1" x14ac:dyDescent="0.4">
      <c r="A759" s="38"/>
      <c r="D759" s="39"/>
      <c r="F759" s="39"/>
    </row>
    <row r="760" spans="1:6" s="31" customFormat="1" x14ac:dyDescent="0.4">
      <c r="A760" s="38"/>
      <c r="D760" s="39"/>
      <c r="F760" s="39"/>
    </row>
    <row r="761" spans="1:6" s="31" customFormat="1" x14ac:dyDescent="0.4">
      <c r="A761" s="38"/>
      <c r="D761" s="39"/>
      <c r="F761" s="39"/>
    </row>
    <row r="762" spans="1:6" s="31" customFormat="1" x14ac:dyDescent="0.4">
      <c r="A762" s="38"/>
      <c r="E762" s="39"/>
      <c r="F762" s="39"/>
    </row>
    <row r="763" spans="1:6" s="31" customFormat="1" x14ac:dyDescent="0.4">
      <c r="A763" s="38"/>
      <c r="D763" s="39"/>
      <c r="F763" s="39"/>
    </row>
    <row r="764" spans="1:6" s="31" customFormat="1" x14ac:dyDescent="0.4">
      <c r="A764" s="38"/>
      <c r="F764" s="39"/>
    </row>
    <row r="765" spans="1:6" s="31" customFormat="1" x14ac:dyDescent="0.4">
      <c r="A765" s="38"/>
      <c r="D765" s="39"/>
      <c r="F765" s="39"/>
    </row>
    <row r="766" spans="1:6" s="31" customFormat="1" x14ac:dyDescent="0.4">
      <c r="A766" s="38"/>
      <c r="D766" s="39"/>
      <c r="F766" s="39"/>
    </row>
    <row r="767" spans="1:6" s="31" customFormat="1" x14ac:dyDescent="0.4">
      <c r="A767" s="38"/>
      <c r="D767" s="39"/>
      <c r="F767" s="39"/>
    </row>
    <row r="768" spans="1:6" s="31" customFormat="1" x14ac:dyDescent="0.4">
      <c r="A768" s="38"/>
      <c r="D768" s="39"/>
      <c r="F768" s="39"/>
    </row>
    <row r="769" spans="1:6" s="31" customFormat="1" x14ac:dyDescent="0.4">
      <c r="A769" s="38"/>
      <c r="D769" s="39"/>
      <c r="F769" s="39"/>
    </row>
    <row r="770" spans="1:6" s="31" customFormat="1" x14ac:dyDescent="0.4">
      <c r="A770" s="38"/>
      <c r="D770" s="39"/>
      <c r="F770" s="39"/>
    </row>
    <row r="771" spans="1:6" s="31" customFormat="1" x14ac:dyDescent="0.4">
      <c r="A771" s="38"/>
      <c r="F771" s="39"/>
    </row>
    <row r="772" spans="1:6" s="31" customFormat="1" x14ac:dyDescent="0.4">
      <c r="A772" s="38"/>
      <c r="D772" s="39"/>
      <c r="F772" s="39"/>
    </row>
    <row r="773" spans="1:6" s="31" customFormat="1" x14ac:dyDescent="0.4">
      <c r="A773" s="38"/>
      <c r="D773" s="39"/>
      <c r="F773" s="39"/>
    </row>
    <row r="774" spans="1:6" s="31" customFormat="1" x14ac:dyDescent="0.4">
      <c r="A774" s="38"/>
      <c r="D774" s="39"/>
      <c r="F774" s="39"/>
    </row>
    <row r="775" spans="1:6" s="31" customFormat="1" x14ac:dyDescent="0.4">
      <c r="A775" s="38"/>
      <c r="E775" s="39"/>
      <c r="F775" s="39"/>
    </row>
    <row r="776" spans="1:6" s="31" customFormat="1" x14ac:dyDescent="0.4">
      <c r="A776" s="38"/>
      <c r="D776" s="39"/>
      <c r="F776" s="39"/>
    </row>
    <row r="777" spans="1:6" s="31" customFormat="1" x14ac:dyDescent="0.4">
      <c r="A777" s="38"/>
      <c r="F777" s="39"/>
    </row>
    <row r="778" spans="1:6" s="31" customFormat="1" x14ac:dyDescent="0.4">
      <c r="A778" s="38"/>
      <c r="D778" s="39"/>
      <c r="F778" s="39"/>
    </row>
    <row r="779" spans="1:6" s="31" customFormat="1" x14ac:dyDescent="0.4">
      <c r="A779" s="38"/>
      <c r="D779" s="39"/>
      <c r="F779" s="39"/>
    </row>
    <row r="780" spans="1:6" s="31" customFormat="1" x14ac:dyDescent="0.4">
      <c r="A780" s="38"/>
      <c r="D780" s="39"/>
      <c r="F780" s="39"/>
    </row>
    <row r="781" spans="1:6" s="31" customFormat="1" x14ac:dyDescent="0.4">
      <c r="A781" s="38"/>
      <c r="D781" s="39"/>
      <c r="F781" s="39"/>
    </row>
    <row r="782" spans="1:6" s="31" customFormat="1" x14ac:dyDescent="0.4">
      <c r="A782" s="38"/>
      <c r="D782" s="39"/>
      <c r="F782" s="39"/>
    </row>
    <row r="783" spans="1:6" s="31" customFormat="1" x14ac:dyDescent="0.4">
      <c r="A783" s="38"/>
      <c r="D783" s="39"/>
      <c r="F783" s="39"/>
    </row>
    <row r="784" spans="1:6" s="31" customFormat="1" x14ac:dyDescent="0.4">
      <c r="A784" s="38"/>
      <c r="D784" s="39"/>
      <c r="F784" s="39"/>
    </row>
    <row r="785" spans="1:6" s="31" customFormat="1" x14ac:dyDescent="0.4">
      <c r="A785" s="38"/>
      <c r="E785" s="39"/>
      <c r="F785" s="39"/>
    </row>
    <row r="786" spans="1:6" s="31" customFormat="1" x14ac:dyDescent="0.4">
      <c r="A786" s="38"/>
      <c r="D786" s="39"/>
      <c r="F786" s="39"/>
    </row>
    <row r="787" spans="1:6" s="31" customFormat="1" x14ac:dyDescent="0.4">
      <c r="A787" s="38"/>
      <c r="F787" s="39"/>
    </row>
    <row r="788" spans="1:6" s="31" customFormat="1" x14ac:dyDescent="0.4">
      <c r="A788" s="38"/>
      <c r="D788" s="39"/>
      <c r="F788" s="39"/>
    </row>
    <row r="789" spans="1:6" s="31" customFormat="1" x14ac:dyDescent="0.4">
      <c r="A789" s="38"/>
      <c r="D789" s="39"/>
      <c r="F789" s="39"/>
    </row>
    <row r="790" spans="1:6" s="31" customFormat="1" x14ac:dyDescent="0.4">
      <c r="A790" s="38"/>
      <c r="F790" s="39"/>
    </row>
    <row r="791" spans="1:6" s="31" customFormat="1" x14ac:dyDescent="0.4">
      <c r="A791" s="38"/>
      <c r="D791" s="39"/>
      <c r="F791" s="39"/>
    </row>
    <row r="792" spans="1:6" s="31" customFormat="1" x14ac:dyDescent="0.4">
      <c r="A792" s="38"/>
      <c r="D792" s="39"/>
      <c r="F792" s="39"/>
    </row>
    <row r="793" spans="1:6" s="31" customFormat="1" x14ac:dyDescent="0.4">
      <c r="A793" s="38"/>
      <c r="D793" s="39"/>
      <c r="F793" s="39"/>
    </row>
    <row r="794" spans="1:6" s="31" customFormat="1" x14ac:dyDescent="0.4">
      <c r="A794" s="38"/>
      <c r="D794" s="39"/>
      <c r="F794" s="39"/>
    </row>
    <row r="795" spans="1:6" s="31" customFormat="1" x14ac:dyDescent="0.4">
      <c r="A795" s="38"/>
      <c r="D795" s="39"/>
      <c r="F795" s="39"/>
    </row>
    <row r="796" spans="1:6" s="31" customFormat="1" x14ac:dyDescent="0.4">
      <c r="A796" s="38"/>
      <c r="D796" s="39"/>
      <c r="F796" s="39"/>
    </row>
    <row r="797" spans="1:6" s="31" customFormat="1" x14ac:dyDescent="0.4">
      <c r="A797" s="38"/>
      <c r="E797" s="39"/>
      <c r="F797" s="39"/>
    </row>
    <row r="798" spans="1:6" s="31" customFormat="1" x14ac:dyDescent="0.4">
      <c r="A798" s="38"/>
      <c r="D798" s="39"/>
      <c r="F798" s="39"/>
    </row>
    <row r="799" spans="1:6" s="31" customFormat="1" x14ac:dyDescent="0.4">
      <c r="A799" s="38"/>
      <c r="F799" s="39"/>
    </row>
    <row r="800" spans="1:6" s="31" customFormat="1" x14ac:dyDescent="0.4">
      <c r="A800" s="38"/>
      <c r="D800" s="39"/>
      <c r="F800" s="39"/>
    </row>
    <row r="801" spans="1:6" s="31" customFormat="1" x14ac:dyDescent="0.4">
      <c r="A801" s="38"/>
      <c r="D801" s="39"/>
      <c r="F801" s="39"/>
    </row>
    <row r="802" spans="1:6" s="31" customFormat="1" x14ac:dyDescent="0.4">
      <c r="A802" s="38"/>
      <c r="D802" s="39"/>
      <c r="F802" s="39"/>
    </row>
    <row r="803" spans="1:6" s="31" customFormat="1" x14ac:dyDescent="0.4">
      <c r="A803" s="38"/>
      <c r="D803" s="39"/>
      <c r="F803" s="39"/>
    </row>
    <row r="804" spans="1:6" s="31" customFormat="1" x14ac:dyDescent="0.4">
      <c r="A804" s="38"/>
      <c r="E804" s="39"/>
      <c r="F804" s="39"/>
    </row>
    <row r="805" spans="1:6" s="31" customFormat="1" x14ac:dyDescent="0.4">
      <c r="A805" s="38"/>
      <c r="E805" s="39"/>
      <c r="F805" s="39"/>
    </row>
    <row r="806" spans="1:6" s="31" customFormat="1" x14ac:dyDescent="0.4">
      <c r="A806" s="38"/>
      <c r="D806" s="39"/>
      <c r="F806" s="39"/>
    </row>
    <row r="807" spans="1:6" s="31" customFormat="1" x14ac:dyDescent="0.4">
      <c r="A807" s="38"/>
      <c r="D807" s="39"/>
      <c r="F807" s="39"/>
    </row>
    <row r="808" spans="1:6" s="31" customFormat="1" x14ac:dyDescent="0.4">
      <c r="A808" s="38"/>
      <c r="D808" s="39"/>
      <c r="F808" s="39"/>
    </row>
    <row r="809" spans="1:6" s="31" customFormat="1" x14ac:dyDescent="0.4">
      <c r="A809" s="38"/>
      <c r="D809" s="39"/>
      <c r="F809" s="39"/>
    </row>
    <row r="810" spans="1:6" s="31" customFormat="1" x14ac:dyDescent="0.4">
      <c r="A810" s="38"/>
      <c r="E810" s="39"/>
      <c r="F810" s="39"/>
    </row>
    <row r="811" spans="1:6" s="31" customFormat="1" x14ac:dyDescent="0.4">
      <c r="A811" s="38"/>
      <c r="D811" s="39"/>
      <c r="F811" s="39"/>
    </row>
    <row r="812" spans="1:6" s="31" customFormat="1" x14ac:dyDescent="0.4">
      <c r="A812" s="38"/>
      <c r="F812" s="39"/>
    </row>
    <row r="813" spans="1:6" s="31" customFormat="1" x14ac:dyDescent="0.4">
      <c r="A813" s="38"/>
      <c r="D813" s="39"/>
      <c r="F813" s="39"/>
    </row>
    <row r="814" spans="1:6" s="31" customFormat="1" x14ac:dyDescent="0.4">
      <c r="A814" s="38"/>
      <c r="D814" s="39"/>
      <c r="F814" s="39"/>
    </row>
    <row r="815" spans="1:6" s="31" customFormat="1" x14ac:dyDescent="0.4">
      <c r="A815" s="38"/>
      <c r="D815" s="39"/>
      <c r="F815" s="39"/>
    </row>
    <row r="816" spans="1:6" s="31" customFormat="1" x14ac:dyDescent="0.4">
      <c r="A816" s="38"/>
      <c r="D816" s="39"/>
      <c r="F816" s="39"/>
    </row>
    <row r="817" spans="1:6" s="31" customFormat="1" x14ac:dyDescent="0.4">
      <c r="A817" s="38"/>
      <c r="D817" s="39"/>
      <c r="F817" s="39"/>
    </row>
    <row r="818" spans="1:6" s="31" customFormat="1" x14ac:dyDescent="0.4">
      <c r="A818" s="38"/>
      <c r="D818" s="39"/>
      <c r="F818" s="39"/>
    </row>
    <row r="819" spans="1:6" s="31" customFormat="1" x14ac:dyDescent="0.4">
      <c r="A819" s="38"/>
      <c r="D819" s="39"/>
      <c r="F819" s="39"/>
    </row>
    <row r="820" spans="1:6" s="31" customFormat="1" x14ac:dyDescent="0.4">
      <c r="A820" s="38"/>
      <c r="E820" s="39"/>
      <c r="F820" s="39"/>
    </row>
    <row r="821" spans="1:6" s="31" customFormat="1" x14ac:dyDescent="0.4">
      <c r="A821" s="38"/>
      <c r="D821" s="39"/>
      <c r="F821" s="39"/>
    </row>
    <row r="822" spans="1:6" s="31" customFormat="1" x14ac:dyDescent="0.4">
      <c r="A822" s="38"/>
      <c r="F822" s="39"/>
    </row>
    <row r="823" spans="1:6" s="31" customFormat="1" x14ac:dyDescent="0.4">
      <c r="A823" s="38"/>
      <c r="D823" s="39"/>
      <c r="F823" s="39"/>
    </row>
    <row r="824" spans="1:6" s="31" customFormat="1" x14ac:dyDescent="0.4">
      <c r="A824" s="38"/>
      <c r="D824" s="39"/>
      <c r="F824" s="39"/>
    </row>
    <row r="825" spans="1:6" s="31" customFormat="1" x14ac:dyDescent="0.4">
      <c r="A825" s="38"/>
      <c r="D825" s="39"/>
      <c r="F825" s="39"/>
    </row>
    <row r="826" spans="1:6" s="31" customFormat="1" x14ac:dyDescent="0.4">
      <c r="A826" s="38"/>
      <c r="D826" s="39"/>
      <c r="F826" s="39"/>
    </row>
    <row r="827" spans="1:6" s="31" customFormat="1" x14ac:dyDescent="0.4">
      <c r="A827" s="38"/>
      <c r="D827" s="39"/>
      <c r="F827" s="39"/>
    </row>
    <row r="828" spans="1:6" s="31" customFormat="1" x14ac:dyDescent="0.4">
      <c r="A828" s="38"/>
      <c r="D828" s="39"/>
      <c r="F828" s="39"/>
    </row>
    <row r="829" spans="1:6" s="31" customFormat="1" x14ac:dyDescent="0.4">
      <c r="A829" s="38"/>
      <c r="D829" s="39"/>
      <c r="F829" s="39"/>
    </row>
    <row r="830" spans="1:6" s="31" customFormat="1" x14ac:dyDescent="0.4">
      <c r="A830" s="38"/>
      <c r="E830" s="39"/>
      <c r="F830" s="39"/>
    </row>
    <row r="831" spans="1:6" s="31" customFormat="1" x14ac:dyDescent="0.4">
      <c r="A831" s="38"/>
      <c r="D831" s="39"/>
      <c r="F831" s="39"/>
    </row>
    <row r="832" spans="1:6" s="31" customFormat="1" x14ac:dyDescent="0.4">
      <c r="A832" s="38"/>
      <c r="F832" s="39"/>
    </row>
    <row r="833" spans="1:6" s="31" customFormat="1" x14ac:dyDescent="0.4">
      <c r="A833" s="38"/>
      <c r="D833" s="39"/>
      <c r="F833" s="39"/>
    </row>
    <row r="834" spans="1:6" s="31" customFormat="1" x14ac:dyDescent="0.4">
      <c r="A834" s="38"/>
      <c r="D834" s="39"/>
      <c r="F834" s="39"/>
    </row>
    <row r="835" spans="1:6" s="31" customFormat="1" x14ac:dyDescent="0.4">
      <c r="A835" s="38"/>
      <c r="D835" s="39"/>
      <c r="F835" s="39"/>
    </row>
    <row r="836" spans="1:6" s="31" customFormat="1" x14ac:dyDescent="0.4">
      <c r="A836" s="38"/>
      <c r="D836" s="39"/>
      <c r="F836" s="39"/>
    </row>
    <row r="837" spans="1:6" s="31" customFormat="1" x14ac:dyDescent="0.4">
      <c r="A837" s="38"/>
      <c r="E837" s="39"/>
      <c r="F837" s="39"/>
    </row>
    <row r="838" spans="1:6" s="31" customFormat="1" x14ac:dyDescent="0.4">
      <c r="A838" s="38"/>
      <c r="F838" s="39"/>
    </row>
    <row r="839" spans="1:6" s="31" customFormat="1" x14ac:dyDescent="0.4">
      <c r="A839" s="38"/>
      <c r="D839" s="39"/>
      <c r="F839" s="39"/>
    </row>
    <row r="840" spans="1:6" s="31" customFormat="1" x14ac:dyDescent="0.4">
      <c r="A840" s="38"/>
      <c r="D840" s="39"/>
      <c r="F840" s="39"/>
    </row>
    <row r="841" spans="1:6" s="31" customFormat="1" x14ac:dyDescent="0.4">
      <c r="A841" s="38"/>
      <c r="D841" s="39"/>
      <c r="F841" s="39"/>
    </row>
    <row r="842" spans="1:6" s="31" customFormat="1" x14ac:dyDescent="0.4">
      <c r="A842" s="38"/>
      <c r="D842" s="39"/>
      <c r="F842" s="39"/>
    </row>
    <row r="843" spans="1:6" s="31" customFormat="1" x14ac:dyDescent="0.4">
      <c r="A843" s="38"/>
      <c r="F843" s="39"/>
    </row>
    <row r="844" spans="1:6" s="31" customFormat="1" x14ac:dyDescent="0.4">
      <c r="A844" s="38"/>
      <c r="E844" s="39"/>
      <c r="F844" s="39"/>
    </row>
    <row r="845" spans="1:6" s="31" customFormat="1" x14ac:dyDescent="0.4">
      <c r="A845" s="38"/>
      <c r="D845" s="39"/>
      <c r="F845" s="39"/>
    </row>
    <row r="846" spans="1:6" s="31" customFormat="1" x14ac:dyDescent="0.4">
      <c r="A846" s="38"/>
      <c r="F846" s="39"/>
    </row>
    <row r="847" spans="1:6" s="31" customFormat="1" x14ac:dyDescent="0.4">
      <c r="A847" s="38"/>
      <c r="D847" s="39"/>
      <c r="F847" s="39"/>
    </row>
    <row r="848" spans="1:6" s="31" customFormat="1" x14ac:dyDescent="0.4">
      <c r="A848" s="38"/>
      <c r="D848" s="39"/>
      <c r="F848" s="39"/>
    </row>
    <row r="849" spans="1:6" s="31" customFormat="1" x14ac:dyDescent="0.4">
      <c r="A849" s="38"/>
      <c r="D849" s="39"/>
      <c r="F849" s="39"/>
    </row>
    <row r="850" spans="1:6" s="31" customFormat="1" x14ac:dyDescent="0.4">
      <c r="A850" s="38"/>
      <c r="D850" s="39"/>
      <c r="F850" s="39"/>
    </row>
    <row r="851" spans="1:6" s="31" customFormat="1" x14ac:dyDescent="0.4">
      <c r="A851" s="38"/>
      <c r="D851" s="39"/>
      <c r="F851" s="39"/>
    </row>
    <row r="852" spans="1:6" s="31" customFormat="1" x14ac:dyDescent="0.4">
      <c r="A852" s="38"/>
      <c r="D852" s="39"/>
      <c r="F852" s="39"/>
    </row>
    <row r="853" spans="1:6" s="31" customFormat="1" x14ac:dyDescent="0.4">
      <c r="A853" s="38"/>
      <c r="D853" s="39"/>
      <c r="F853" s="39"/>
    </row>
    <row r="854" spans="1:6" s="31" customFormat="1" x14ac:dyDescent="0.4">
      <c r="A854" s="38"/>
      <c r="D854" s="39"/>
      <c r="F854" s="39"/>
    </row>
    <row r="855" spans="1:6" s="31" customFormat="1" x14ac:dyDescent="0.4">
      <c r="A855" s="38"/>
      <c r="E855" s="39"/>
      <c r="F855" s="39"/>
    </row>
    <row r="856" spans="1:6" s="31" customFormat="1" x14ac:dyDescent="0.4">
      <c r="A856" s="38"/>
      <c r="D856" s="39"/>
      <c r="F856" s="39"/>
    </row>
    <row r="857" spans="1:6" s="31" customFormat="1" x14ac:dyDescent="0.4">
      <c r="A857" s="38"/>
      <c r="F857" s="39"/>
    </row>
    <row r="858" spans="1:6" s="31" customFormat="1" x14ac:dyDescent="0.4">
      <c r="A858" s="38"/>
      <c r="D858" s="39"/>
      <c r="F858" s="39"/>
    </row>
    <row r="859" spans="1:6" s="31" customFormat="1" x14ac:dyDescent="0.4">
      <c r="A859" s="38"/>
      <c r="D859" s="39"/>
      <c r="F859" s="39"/>
    </row>
    <row r="860" spans="1:6" s="31" customFormat="1" x14ac:dyDescent="0.4">
      <c r="A860" s="38"/>
      <c r="D860" s="39"/>
      <c r="F860" s="39"/>
    </row>
    <row r="861" spans="1:6" s="31" customFormat="1" x14ac:dyDescent="0.4">
      <c r="A861" s="38"/>
      <c r="D861" s="39"/>
      <c r="F861" s="39"/>
    </row>
    <row r="862" spans="1:6" s="31" customFormat="1" x14ac:dyDescent="0.4">
      <c r="A862" s="38"/>
      <c r="D862" s="39"/>
      <c r="F862" s="39"/>
    </row>
    <row r="863" spans="1:6" s="31" customFormat="1" x14ac:dyDescent="0.4">
      <c r="A863" s="38"/>
      <c r="D863" s="39"/>
      <c r="F863" s="39"/>
    </row>
    <row r="864" spans="1:6" s="31" customFormat="1" x14ac:dyDescent="0.4">
      <c r="A864" s="38"/>
      <c r="D864" s="39"/>
      <c r="F864" s="39"/>
    </row>
    <row r="865" spans="1:6" s="31" customFormat="1" x14ac:dyDescent="0.4">
      <c r="A865" s="38"/>
      <c r="D865" s="39"/>
      <c r="F865" s="39"/>
    </row>
    <row r="866" spans="1:6" s="31" customFormat="1" x14ac:dyDescent="0.4">
      <c r="A866" s="38"/>
      <c r="E866" s="39"/>
      <c r="F866" s="39"/>
    </row>
    <row r="867" spans="1:6" s="31" customFormat="1" x14ac:dyDescent="0.4">
      <c r="A867" s="38"/>
      <c r="D867" s="39"/>
      <c r="F867" s="39"/>
    </row>
    <row r="868" spans="1:6" s="31" customFormat="1" x14ac:dyDescent="0.4">
      <c r="A868" s="38"/>
      <c r="D868" s="39"/>
      <c r="F868" s="39"/>
    </row>
    <row r="869" spans="1:6" s="31" customFormat="1" x14ac:dyDescent="0.4">
      <c r="A869" s="38"/>
      <c r="D869" s="39"/>
      <c r="F869" s="39"/>
    </row>
    <row r="870" spans="1:6" s="31" customFormat="1" x14ac:dyDescent="0.4">
      <c r="A870" s="38"/>
      <c r="E870" s="39"/>
      <c r="F870" s="39"/>
    </row>
    <row r="871" spans="1:6" s="31" customFormat="1" x14ac:dyDescent="0.4">
      <c r="A871" s="38"/>
      <c r="D871" s="39"/>
      <c r="F871" s="39"/>
    </row>
    <row r="872" spans="1:6" s="31" customFormat="1" x14ac:dyDescent="0.4">
      <c r="A872" s="38"/>
      <c r="F872" s="39"/>
    </row>
    <row r="873" spans="1:6" s="31" customFormat="1" x14ac:dyDescent="0.4">
      <c r="A873" s="38"/>
      <c r="D873" s="39"/>
      <c r="F873" s="39"/>
    </row>
    <row r="874" spans="1:6" s="31" customFormat="1" x14ac:dyDescent="0.4">
      <c r="A874" s="38"/>
      <c r="D874" s="39"/>
      <c r="F874" s="39"/>
    </row>
    <row r="875" spans="1:6" s="31" customFormat="1" x14ac:dyDescent="0.4">
      <c r="A875" s="38"/>
      <c r="D875" s="39"/>
      <c r="F875" s="39"/>
    </row>
    <row r="876" spans="1:6" s="31" customFormat="1" x14ac:dyDescent="0.4">
      <c r="A876" s="38"/>
      <c r="D876" s="39"/>
      <c r="F876" s="39"/>
    </row>
    <row r="877" spans="1:6" s="31" customFormat="1" x14ac:dyDescent="0.4">
      <c r="A877" s="38"/>
      <c r="D877" s="39"/>
      <c r="F877" s="39"/>
    </row>
    <row r="878" spans="1:6" s="31" customFormat="1" x14ac:dyDescent="0.4">
      <c r="A878" s="38"/>
      <c r="D878" s="39"/>
      <c r="F878" s="39"/>
    </row>
    <row r="879" spans="1:6" s="31" customFormat="1" x14ac:dyDescent="0.4">
      <c r="A879" s="38"/>
      <c r="F879" s="39"/>
    </row>
    <row r="880" spans="1:6" s="31" customFormat="1" x14ac:dyDescent="0.4">
      <c r="A880" s="38"/>
      <c r="D880" s="39"/>
      <c r="F880" s="39"/>
    </row>
    <row r="881" spans="1:6" s="31" customFormat="1" x14ac:dyDescent="0.4">
      <c r="A881" s="38"/>
      <c r="D881" s="39"/>
      <c r="F881" s="39"/>
    </row>
    <row r="882" spans="1:6" s="31" customFormat="1" x14ac:dyDescent="0.4">
      <c r="A882" s="38"/>
      <c r="D882" s="39"/>
      <c r="F882" s="39"/>
    </row>
    <row r="883" spans="1:6" s="31" customFormat="1" x14ac:dyDescent="0.4">
      <c r="A883" s="38"/>
      <c r="E883" s="39"/>
      <c r="F883" s="39"/>
    </row>
    <row r="884" spans="1:6" s="31" customFormat="1" x14ac:dyDescent="0.4">
      <c r="A884" s="38"/>
      <c r="D884" s="39"/>
      <c r="F884" s="39"/>
    </row>
    <row r="885" spans="1:6" s="31" customFormat="1" x14ac:dyDescent="0.4">
      <c r="A885" s="38"/>
      <c r="F885" s="39"/>
    </row>
    <row r="886" spans="1:6" s="31" customFormat="1" x14ac:dyDescent="0.4">
      <c r="A886" s="38"/>
      <c r="D886" s="39"/>
      <c r="F886" s="39"/>
    </row>
    <row r="887" spans="1:6" s="31" customFormat="1" x14ac:dyDescent="0.4">
      <c r="A887" s="38"/>
      <c r="D887" s="39"/>
      <c r="F887" s="39"/>
    </row>
    <row r="888" spans="1:6" s="31" customFormat="1" x14ac:dyDescent="0.4">
      <c r="A888" s="38"/>
      <c r="D888" s="39"/>
      <c r="F888" s="39"/>
    </row>
    <row r="889" spans="1:6" s="31" customFormat="1" x14ac:dyDescent="0.4">
      <c r="A889" s="38"/>
      <c r="D889" s="39"/>
      <c r="F889" s="39"/>
    </row>
    <row r="890" spans="1:6" s="31" customFormat="1" x14ac:dyDescent="0.4">
      <c r="A890" s="38"/>
      <c r="D890" s="39"/>
      <c r="F890" s="39"/>
    </row>
    <row r="891" spans="1:6" s="31" customFormat="1" x14ac:dyDescent="0.4">
      <c r="A891" s="38"/>
      <c r="D891" s="39"/>
      <c r="F891" s="39"/>
    </row>
    <row r="892" spans="1:6" s="31" customFormat="1" x14ac:dyDescent="0.4">
      <c r="A892" s="38"/>
      <c r="D892" s="39"/>
      <c r="F892" s="39"/>
    </row>
    <row r="893" spans="1:6" s="31" customFormat="1" x14ac:dyDescent="0.4">
      <c r="A893" s="38"/>
      <c r="E893" s="39"/>
      <c r="F893" s="39"/>
    </row>
    <row r="894" spans="1:6" s="31" customFormat="1" x14ac:dyDescent="0.4">
      <c r="A894" s="38"/>
      <c r="D894" s="39"/>
      <c r="F894" s="39"/>
    </row>
    <row r="895" spans="1:6" s="31" customFormat="1" x14ac:dyDescent="0.4">
      <c r="A895" s="38"/>
      <c r="F895" s="39"/>
    </row>
    <row r="896" spans="1:6" s="31" customFormat="1" x14ac:dyDescent="0.4">
      <c r="A896" s="38"/>
      <c r="D896" s="39"/>
      <c r="F896" s="39"/>
    </row>
    <row r="897" spans="1:6" s="31" customFormat="1" x14ac:dyDescent="0.4">
      <c r="A897" s="38"/>
      <c r="D897" s="39"/>
      <c r="F897" s="39"/>
    </row>
    <row r="898" spans="1:6" s="31" customFormat="1" x14ac:dyDescent="0.4">
      <c r="A898" s="38"/>
      <c r="F898" s="39"/>
    </row>
    <row r="899" spans="1:6" s="31" customFormat="1" x14ac:dyDescent="0.4">
      <c r="A899" s="38"/>
      <c r="D899" s="39"/>
      <c r="F899" s="39"/>
    </row>
    <row r="900" spans="1:6" s="31" customFormat="1" x14ac:dyDescent="0.4">
      <c r="A900" s="38"/>
      <c r="D900" s="39"/>
      <c r="F900" s="39"/>
    </row>
    <row r="901" spans="1:6" s="31" customFormat="1" x14ac:dyDescent="0.4">
      <c r="A901" s="38"/>
      <c r="D901" s="39"/>
      <c r="F901" s="39"/>
    </row>
    <row r="902" spans="1:6" s="31" customFormat="1" x14ac:dyDescent="0.4">
      <c r="A902" s="38"/>
      <c r="D902" s="39"/>
      <c r="F902" s="39"/>
    </row>
    <row r="903" spans="1:6" s="31" customFormat="1" x14ac:dyDescent="0.4">
      <c r="A903" s="38"/>
      <c r="D903" s="39"/>
      <c r="F903" s="39"/>
    </row>
    <row r="904" spans="1:6" s="31" customFormat="1" x14ac:dyDescent="0.4">
      <c r="A904" s="38"/>
      <c r="D904" s="39"/>
      <c r="F904" s="39"/>
    </row>
    <row r="905" spans="1:6" s="31" customFormat="1" x14ac:dyDescent="0.4">
      <c r="A905" s="38"/>
      <c r="E905" s="39"/>
      <c r="F905" s="39"/>
    </row>
    <row r="906" spans="1:6" s="31" customFormat="1" x14ac:dyDescent="0.4">
      <c r="A906" s="38"/>
      <c r="D906" s="39"/>
      <c r="F906" s="39"/>
    </row>
    <row r="907" spans="1:6" s="31" customFormat="1" x14ac:dyDescent="0.4">
      <c r="A907" s="38"/>
      <c r="F907" s="39"/>
    </row>
    <row r="908" spans="1:6" s="31" customFormat="1" x14ac:dyDescent="0.4">
      <c r="A908" s="38"/>
      <c r="D908" s="39"/>
      <c r="F908" s="39"/>
    </row>
    <row r="909" spans="1:6" s="31" customFormat="1" x14ac:dyDescent="0.4">
      <c r="A909" s="38"/>
      <c r="D909" s="39"/>
      <c r="F909" s="39"/>
    </row>
    <row r="910" spans="1:6" s="31" customFormat="1" x14ac:dyDescent="0.4">
      <c r="A910" s="38"/>
      <c r="D910" s="39"/>
      <c r="F910" s="39"/>
    </row>
    <row r="911" spans="1:6" s="31" customFormat="1" x14ac:dyDescent="0.4">
      <c r="A911" s="38"/>
      <c r="D911" s="39"/>
      <c r="F911" s="39"/>
    </row>
    <row r="912" spans="1:6" s="31" customFormat="1" x14ac:dyDescent="0.4">
      <c r="A912" s="38"/>
      <c r="E912" s="39"/>
      <c r="F912" s="39"/>
    </row>
    <row r="913" spans="1:6" s="31" customFormat="1" x14ac:dyDescent="0.4">
      <c r="A913" s="38"/>
      <c r="E913" s="39"/>
      <c r="F913" s="39"/>
    </row>
    <row r="914" spans="1:6" s="31" customFormat="1" x14ac:dyDescent="0.4">
      <c r="A914" s="38"/>
      <c r="D914" s="39"/>
      <c r="F914" s="39"/>
    </row>
    <row r="915" spans="1:6" s="31" customFormat="1" x14ac:dyDescent="0.4">
      <c r="A915" s="38"/>
      <c r="D915" s="39"/>
      <c r="F915" s="39"/>
    </row>
    <row r="916" spans="1:6" s="31" customFormat="1" x14ac:dyDescent="0.4">
      <c r="A916" s="38"/>
      <c r="D916" s="39"/>
      <c r="F916" s="39"/>
    </row>
    <row r="917" spans="1:6" s="31" customFormat="1" x14ac:dyDescent="0.4">
      <c r="A917" s="38"/>
      <c r="D917" s="39"/>
      <c r="F917" s="39"/>
    </row>
    <row r="918" spans="1:6" s="31" customFormat="1" x14ac:dyDescent="0.4">
      <c r="A918" s="38"/>
      <c r="E918" s="39"/>
      <c r="F918" s="39"/>
    </row>
    <row r="919" spans="1:6" s="31" customFormat="1" x14ac:dyDescent="0.4">
      <c r="A919" s="38"/>
      <c r="D919" s="39"/>
      <c r="F919" s="39"/>
    </row>
    <row r="920" spans="1:6" s="31" customFormat="1" x14ac:dyDescent="0.4">
      <c r="A920" s="38"/>
      <c r="F920" s="39"/>
    </row>
    <row r="921" spans="1:6" s="31" customFormat="1" x14ac:dyDescent="0.4">
      <c r="A921" s="38"/>
      <c r="D921" s="39"/>
      <c r="F921" s="39"/>
    </row>
    <row r="922" spans="1:6" s="31" customFormat="1" x14ac:dyDescent="0.4">
      <c r="A922" s="38"/>
      <c r="D922" s="39"/>
      <c r="F922" s="39"/>
    </row>
    <row r="923" spans="1:6" s="31" customFormat="1" x14ac:dyDescent="0.4">
      <c r="A923" s="38"/>
      <c r="D923" s="39"/>
      <c r="F923" s="39"/>
    </row>
    <row r="924" spans="1:6" s="31" customFormat="1" x14ac:dyDescent="0.4">
      <c r="A924" s="38"/>
      <c r="D924" s="39"/>
      <c r="F924" s="39"/>
    </row>
    <row r="925" spans="1:6" s="31" customFormat="1" x14ac:dyDescent="0.4">
      <c r="A925" s="38"/>
      <c r="D925" s="39"/>
      <c r="F925" s="39"/>
    </row>
    <row r="926" spans="1:6" s="31" customFormat="1" x14ac:dyDescent="0.4">
      <c r="A926" s="38"/>
      <c r="D926" s="39"/>
      <c r="F926" s="39"/>
    </row>
    <row r="927" spans="1:6" s="31" customFormat="1" x14ac:dyDescent="0.4">
      <c r="A927" s="38"/>
      <c r="D927" s="39"/>
      <c r="F927" s="39"/>
    </row>
    <row r="928" spans="1:6" s="31" customFormat="1" x14ac:dyDescent="0.4">
      <c r="A928" s="38"/>
      <c r="E928" s="39"/>
      <c r="F928" s="39"/>
    </row>
    <row r="929" spans="1:6" s="31" customFormat="1" x14ac:dyDescent="0.4">
      <c r="A929" s="38"/>
      <c r="D929" s="39"/>
      <c r="F929" s="39"/>
    </row>
    <row r="930" spans="1:6" s="31" customFormat="1" x14ac:dyDescent="0.4">
      <c r="A930" s="38"/>
      <c r="F930" s="39"/>
    </row>
    <row r="931" spans="1:6" s="31" customFormat="1" x14ac:dyDescent="0.4">
      <c r="A931" s="38"/>
      <c r="D931" s="39"/>
      <c r="F931" s="39"/>
    </row>
    <row r="932" spans="1:6" s="31" customFormat="1" x14ac:dyDescent="0.4">
      <c r="A932" s="38"/>
      <c r="D932" s="39"/>
      <c r="F932" s="39"/>
    </row>
    <row r="933" spans="1:6" s="31" customFormat="1" x14ac:dyDescent="0.4">
      <c r="A933" s="38"/>
      <c r="D933" s="39"/>
      <c r="F933" s="39"/>
    </row>
    <row r="934" spans="1:6" s="31" customFormat="1" x14ac:dyDescent="0.4">
      <c r="A934" s="38"/>
      <c r="D934" s="39"/>
      <c r="F934" s="39"/>
    </row>
    <row r="935" spans="1:6" s="31" customFormat="1" x14ac:dyDescent="0.4">
      <c r="A935" s="38"/>
      <c r="D935" s="39"/>
      <c r="F935" s="39"/>
    </row>
    <row r="936" spans="1:6" s="31" customFormat="1" x14ac:dyDescent="0.4">
      <c r="A936" s="38"/>
      <c r="D936" s="39"/>
      <c r="F936" s="39"/>
    </row>
    <row r="937" spans="1:6" s="31" customFormat="1" x14ac:dyDescent="0.4">
      <c r="A937" s="38"/>
      <c r="D937" s="39"/>
      <c r="F937" s="39"/>
    </row>
    <row r="938" spans="1:6" s="31" customFormat="1" x14ac:dyDescent="0.4">
      <c r="A938" s="38"/>
      <c r="E938" s="39"/>
      <c r="F938" s="39"/>
    </row>
    <row r="939" spans="1:6" s="31" customFormat="1" x14ac:dyDescent="0.4">
      <c r="A939" s="38"/>
      <c r="D939" s="39"/>
      <c r="F939" s="39"/>
    </row>
    <row r="940" spans="1:6" s="31" customFormat="1" x14ac:dyDescent="0.4">
      <c r="A940" s="38"/>
      <c r="F940" s="39"/>
    </row>
    <row r="941" spans="1:6" s="31" customFormat="1" x14ac:dyDescent="0.4">
      <c r="A941" s="38"/>
      <c r="D941" s="39"/>
      <c r="F941" s="39"/>
    </row>
    <row r="942" spans="1:6" s="31" customFormat="1" x14ac:dyDescent="0.4">
      <c r="A942" s="38"/>
      <c r="D942" s="39"/>
      <c r="F942" s="39"/>
    </row>
    <row r="943" spans="1:6" s="31" customFormat="1" x14ac:dyDescent="0.4">
      <c r="A943" s="38"/>
      <c r="D943" s="39"/>
      <c r="F943" s="39"/>
    </row>
    <row r="944" spans="1:6" s="31" customFormat="1" x14ac:dyDescent="0.4">
      <c r="A944" s="38"/>
      <c r="D944" s="39"/>
      <c r="F944" s="39"/>
    </row>
    <row r="945" spans="1:6" s="31" customFormat="1" x14ac:dyDescent="0.4">
      <c r="A945" s="38"/>
      <c r="E945" s="39"/>
      <c r="F945" s="39"/>
    </row>
    <row r="946" spans="1:6" s="31" customFormat="1" x14ac:dyDescent="0.4">
      <c r="A946" s="38"/>
      <c r="F946" s="39"/>
    </row>
    <row r="947" spans="1:6" s="31" customFormat="1" x14ac:dyDescent="0.4">
      <c r="A947" s="38"/>
      <c r="D947" s="39"/>
      <c r="F947" s="39"/>
    </row>
    <row r="948" spans="1:6" s="31" customFormat="1" x14ac:dyDescent="0.4">
      <c r="A948" s="38"/>
      <c r="D948" s="39"/>
      <c r="F948" s="39"/>
    </row>
    <row r="949" spans="1:6" s="31" customFormat="1" x14ac:dyDescent="0.4">
      <c r="A949" s="38"/>
      <c r="D949" s="39"/>
      <c r="F949" s="39"/>
    </row>
    <row r="950" spans="1:6" s="31" customFormat="1" x14ac:dyDescent="0.4">
      <c r="A950" s="38"/>
      <c r="D950" s="39"/>
      <c r="F950" s="39"/>
    </row>
    <row r="951" spans="1:6" s="31" customFormat="1" x14ac:dyDescent="0.4">
      <c r="A951" s="38"/>
      <c r="F951" s="39"/>
    </row>
    <row r="952" spans="1:6" s="31" customFormat="1" x14ac:dyDescent="0.4">
      <c r="A952" s="38"/>
      <c r="E952" s="39"/>
      <c r="F952" s="39"/>
    </row>
    <row r="953" spans="1:6" s="31" customFormat="1" x14ac:dyDescent="0.4">
      <c r="A953" s="38"/>
      <c r="D953" s="39"/>
      <c r="F953" s="39"/>
    </row>
    <row r="954" spans="1:6" s="31" customFormat="1" x14ac:dyDescent="0.4">
      <c r="A954" s="38"/>
      <c r="F954" s="39"/>
    </row>
    <row r="955" spans="1:6" s="31" customFormat="1" x14ac:dyDescent="0.4">
      <c r="A955" s="38"/>
      <c r="D955" s="39"/>
      <c r="F955" s="39"/>
    </row>
    <row r="956" spans="1:6" s="31" customFormat="1" x14ac:dyDescent="0.4">
      <c r="A956" s="38"/>
      <c r="D956" s="39"/>
      <c r="F956" s="39"/>
    </row>
    <row r="957" spans="1:6" s="31" customFormat="1" x14ac:dyDescent="0.4">
      <c r="A957" s="38"/>
      <c r="D957" s="39"/>
      <c r="F957" s="39"/>
    </row>
    <row r="958" spans="1:6" s="31" customFormat="1" x14ac:dyDescent="0.4">
      <c r="A958" s="38"/>
      <c r="D958" s="39"/>
      <c r="F958" s="39"/>
    </row>
    <row r="959" spans="1:6" s="31" customFormat="1" x14ac:dyDescent="0.4">
      <c r="A959" s="38"/>
      <c r="D959" s="39"/>
      <c r="F959" s="39"/>
    </row>
    <row r="960" spans="1:6" s="31" customFormat="1" x14ac:dyDescent="0.4">
      <c r="A960" s="38"/>
      <c r="D960" s="39"/>
      <c r="F960" s="39"/>
    </row>
    <row r="961" spans="1:6" s="31" customFormat="1" x14ac:dyDescent="0.4">
      <c r="A961" s="38"/>
      <c r="D961" s="39"/>
      <c r="F961" s="39"/>
    </row>
    <row r="962" spans="1:6" s="31" customFormat="1" x14ac:dyDescent="0.4">
      <c r="A962" s="38"/>
      <c r="D962" s="39"/>
      <c r="F962" s="39"/>
    </row>
    <row r="963" spans="1:6" s="31" customFormat="1" x14ac:dyDescent="0.4">
      <c r="A963" s="38"/>
      <c r="E963" s="39"/>
      <c r="F963" s="39"/>
    </row>
    <row r="964" spans="1:6" s="31" customFormat="1" x14ac:dyDescent="0.4">
      <c r="A964" s="38"/>
      <c r="D964" s="39"/>
      <c r="F964" s="39"/>
    </row>
    <row r="965" spans="1:6" s="31" customFormat="1" x14ac:dyDescent="0.4">
      <c r="A965" s="38"/>
      <c r="F965" s="39"/>
    </row>
    <row r="966" spans="1:6" s="31" customFormat="1" x14ac:dyDescent="0.4">
      <c r="A966" s="38"/>
      <c r="D966" s="39"/>
      <c r="F966" s="39"/>
    </row>
    <row r="967" spans="1:6" s="31" customFormat="1" x14ac:dyDescent="0.4">
      <c r="A967" s="38"/>
      <c r="D967" s="39"/>
      <c r="F967" s="39"/>
    </row>
    <row r="968" spans="1:6" s="31" customFormat="1" x14ac:dyDescent="0.4">
      <c r="A968" s="38"/>
      <c r="D968" s="39"/>
      <c r="F968" s="39"/>
    </row>
    <row r="969" spans="1:6" s="31" customFormat="1" x14ac:dyDescent="0.4">
      <c r="A969" s="38"/>
      <c r="D969" s="39"/>
      <c r="F969" s="39"/>
    </row>
    <row r="970" spans="1:6" s="31" customFormat="1" x14ac:dyDescent="0.4">
      <c r="A970" s="38"/>
      <c r="D970" s="39"/>
      <c r="F970" s="39"/>
    </row>
    <row r="971" spans="1:6" s="31" customFormat="1" x14ac:dyDescent="0.4">
      <c r="A971" s="38"/>
      <c r="D971" s="39"/>
      <c r="F971" s="39"/>
    </row>
    <row r="972" spans="1:6" s="31" customFormat="1" x14ac:dyDescent="0.4">
      <c r="A972" s="38"/>
      <c r="D972" s="39"/>
      <c r="F972" s="39"/>
    </row>
    <row r="973" spans="1:6" s="31" customFormat="1" x14ac:dyDescent="0.4">
      <c r="A973" s="38"/>
      <c r="D973" s="39"/>
      <c r="F973" s="39"/>
    </row>
    <row r="974" spans="1:6" s="31" customFormat="1" x14ac:dyDescent="0.4">
      <c r="A974" s="38"/>
      <c r="E974" s="39"/>
      <c r="F974" s="39"/>
    </row>
    <row r="975" spans="1:6" s="31" customFormat="1" x14ac:dyDescent="0.4">
      <c r="A975" s="38"/>
      <c r="D975" s="39"/>
      <c r="F975" s="39"/>
    </row>
    <row r="976" spans="1:6" s="31" customFormat="1" x14ac:dyDescent="0.4">
      <c r="A976" s="38"/>
      <c r="D976" s="39"/>
      <c r="F976" s="39"/>
    </row>
    <row r="977" spans="1:6" s="31" customFormat="1" x14ac:dyDescent="0.4">
      <c r="A977" s="38"/>
      <c r="D977" s="39"/>
      <c r="F977" s="39"/>
    </row>
    <row r="978" spans="1:6" s="31" customFormat="1" x14ac:dyDescent="0.4">
      <c r="A978" s="38"/>
      <c r="E978" s="39"/>
      <c r="F978" s="39"/>
    </row>
    <row r="979" spans="1:6" s="31" customFormat="1" x14ac:dyDescent="0.4">
      <c r="A979" s="38"/>
      <c r="D979" s="39"/>
      <c r="F979" s="39"/>
    </row>
    <row r="980" spans="1:6" s="31" customFormat="1" x14ac:dyDescent="0.4">
      <c r="A980" s="38"/>
      <c r="F980" s="39"/>
    </row>
    <row r="981" spans="1:6" s="31" customFormat="1" x14ac:dyDescent="0.4">
      <c r="A981" s="38"/>
      <c r="D981" s="39"/>
      <c r="F981" s="39"/>
    </row>
    <row r="982" spans="1:6" s="31" customFormat="1" x14ac:dyDescent="0.4">
      <c r="A982" s="38"/>
      <c r="D982" s="39"/>
      <c r="F982" s="39"/>
    </row>
    <row r="983" spans="1:6" s="31" customFormat="1" x14ac:dyDescent="0.4">
      <c r="A983" s="38"/>
      <c r="D983" s="39"/>
      <c r="F983" s="39"/>
    </row>
    <row r="984" spans="1:6" s="31" customFormat="1" x14ac:dyDescent="0.4">
      <c r="A984" s="38"/>
      <c r="D984" s="39"/>
      <c r="F984" s="39"/>
    </row>
    <row r="985" spans="1:6" s="31" customFormat="1" x14ac:dyDescent="0.4">
      <c r="A985" s="38"/>
      <c r="D985" s="39"/>
      <c r="F985" s="39"/>
    </row>
    <row r="986" spans="1:6" s="31" customFormat="1" x14ac:dyDescent="0.4">
      <c r="A986" s="38"/>
      <c r="D986" s="39"/>
      <c r="F986" s="39"/>
    </row>
    <row r="987" spans="1:6" s="31" customFormat="1" x14ac:dyDescent="0.4">
      <c r="A987" s="38"/>
      <c r="F987" s="39"/>
    </row>
    <row r="988" spans="1:6" s="31" customFormat="1" x14ac:dyDescent="0.4">
      <c r="A988" s="38"/>
      <c r="D988" s="39"/>
      <c r="F988" s="39"/>
    </row>
    <row r="989" spans="1:6" s="31" customFormat="1" x14ac:dyDescent="0.4">
      <c r="A989" s="38"/>
      <c r="D989" s="39"/>
      <c r="F989" s="39"/>
    </row>
    <row r="990" spans="1:6" s="31" customFormat="1" x14ac:dyDescent="0.4">
      <c r="A990" s="38"/>
      <c r="D990" s="39"/>
      <c r="F990" s="39"/>
    </row>
    <row r="991" spans="1:6" s="31" customFormat="1" x14ac:dyDescent="0.4">
      <c r="A991" s="38"/>
      <c r="E991" s="39"/>
      <c r="F991" s="39"/>
    </row>
    <row r="992" spans="1:6" s="31" customFormat="1" x14ac:dyDescent="0.4">
      <c r="A992" s="38"/>
      <c r="D992" s="39"/>
      <c r="F992" s="39"/>
    </row>
    <row r="993" spans="1:6" s="31" customFormat="1" x14ac:dyDescent="0.4">
      <c r="A993" s="38"/>
      <c r="F993" s="39"/>
    </row>
    <row r="994" spans="1:6" s="31" customFormat="1" x14ac:dyDescent="0.4">
      <c r="A994" s="38"/>
      <c r="D994" s="39"/>
      <c r="F994" s="39"/>
    </row>
    <row r="995" spans="1:6" s="31" customFormat="1" x14ac:dyDescent="0.4">
      <c r="A995" s="38"/>
      <c r="D995" s="39"/>
      <c r="F995" s="39"/>
    </row>
    <row r="996" spans="1:6" s="31" customFormat="1" x14ac:dyDescent="0.4">
      <c r="A996" s="38"/>
      <c r="D996" s="39"/>
      <c r="F996" s="39"/>
    </row>
    <row r="997" spans="1:6" s="31" customFormat="1" x14ac:dyDescent="0.4">
      <c r="A997" s="38"/>
      <c r="D997" s="39"/>
      <c r="F997" s="39"/>
    </row>
    <row r="998" spans="1:6" s="31" customFormat="1" x14ac:dyDescent="0.4">
      <c r="A998" s="38"/>
      <c r="D998" s="39"/>
      <c r="F998" s="39"/>
    </row>
    <row r="999" spans="1:6" s="31" customFormat="1" x14ac:dyDescent="0.4">
      <c r="A999" s="38"/>
      <c r="D999" s="39"/>
      <c r="F999" s="39"/>
    </row>
    <row r="1000" spans="1:6" s="31" customFormat="1" x14ac:dyDescent="0.4">
      <c r="A1000" s="38"/>
      <c r="D1000" s="39"/>
      <c r="F1000" s="39"/>
    </row>
    <row r="1001" spans="1:6" s="31" customFormat="1" x14ac:dyDescent="0.4">
      <c r="A1001" s="38"/>
      <c r="E1001" s="39"/>
      <c r="F1001" s="39"/>
    </row>
    <row r="1002" spans="1:6" s="31" customFormat="1" x14ac:dyDescent="0.4">
      <c r="A1002" s="38"/>
      <c r="D1002" s="39"/>
      <c r="F1002" s="39"/>
    </row>
    <row r="1003" spans="1:6" s="31" customFormat="1" x14ac:dyDescent="0.4">
      <c r="A1003" s="38"/>
      <c r="F1003" s="39"/>
    </row>
    <row r="1004" spans="1:6" s="31" customFormat="1" x14ac:dyDescent="0.4">
      <c r="A1004" s="38"/>
      <c r="D1004" s="39"/>
      <c r="F1004" s="39"/>
    </row>
    <row r="1005" spans="1:6" s="31" customFormat="1" x14ac:dyDescent="0.4">
      <c r="A1005" s="38"/>
      <c r="D1005" s="39"/>
      <c r="F1005" s="39"/>
    </row>
    <row r="1006" spans="1:6" s="31" customFormat="1" x14ac:dyDescent="0.4">
      <c r="A1006" s="38"/>
      <c r="F1006" s="39"/>
    </row>
    <row r="1007" spans="1:6" s="31" customFormat="1" x14ac:dyDescent="0.4">
      <c r="A1007" s="38"/>
      <c r="D1007" s="39"/>
      <c r="F1007" s="39"/>
    </row>
    <row r="1008" spans="1:6" s="31" customFormat="1" x14ac:dyDescent="0.4">
      <c r="A1008" s="38"/>
      <c r="D1008" s="39"/>
      <c r="F1008" s="39"/>
    </row>
    <row r="1009" spans="1:6" s="31" customFormat="1" x14ac:dyDescent="0.4">
      <c r="A1009" s="38"/>
      <c r="D1009" s="39"/>
      <c r="F1009" s="39"/>
    </row>
    <row r="1010" spans="1:6" s="31" customFormat="1" x14ac:dyDescent="0.4">
      <c r="A1010" s="38"/>
      <c r="D1010" s="39"/>
      <c r="F1010" s="39"/>
    </row>
    <row r="1011" spans="1:6" s="31" customFormat="1" x14ac:dyDescent="0.4">
      <c r="A1011" s="38"/>
      <c r="D1011" s="39"/>
      <c r="F1011" s="39"/>
    </row>
    <row r="1012" spans="1:6" s="31" customFormat="1" x14ac:dyDescent="0.4">
      <c r="A1012" s="38"/>
      <c r="D1012" s="39"/>
      <c r="F1012" s="39"/>
    </row>
    <row r="1013" spans="1:6" s="31" customFormat="1" x14ac:dyDescent="0.4">
      <c r="A1013" s="38"/>
      <c r="E1013" s="39"/>
      <c r="F1013" s="39"/>
    </row>
    <row r="1014" spans="1:6" s="31" customFormat="1" x14ac:dyDescent="0.4">
      <c r="A1014" s="38"/>
      <c r="D1014" s="39"/>
      <c r="F1014" s="39"/>
    </row>
    <row r="1015" spans="1:6" s="31" customFormat="1" x14ac:dyDescent="0.4">
      <c r="A1015" s="38"/>
      <c r="F1015" s="39"/>
    </row>
    <row r="1016" spans="1:6" s="31" customFormat="1" x14ac:dyDescent="0.4">
      <c r="A1016" s="38"/>
      <c r="D1016" s="39"/>
      <c r="F1016" s="39"/>
    </row>
    <row r="1017" spans="1:6" s="31" customFormat="1" x14ac:dyDescent="0.4">
      <c r="A1017" s="38"/>
      <c r="D1017" s="39"/>
      <c r="F1017" s="39"/>
    </row>
    <row r="1018" spans="1:6" s="31" customFormat="1" x14ac:dyDescent="0.4">
      <c r="A1018" s="38"/>
      <c r="D1018" s="39"/>
      <c r="F1018" s="39"/>
    </row>
    <row r="1019" spans="1:6" s="31" customFormat="1" x14ac:dyDescent="0.4">
      <c r="A1019" s="38"/>
      <c r="D1019" s="39"/>
      <c r="F1019" s="39"/>
    </row>
    <row r="1020" spans="1:6" s="31" customFormat="1" x14ac:dyDescent="0.4">
      <c r="A1020" s="38"/>
      <c r="E1020" s="39"/>
      <c r="F1020" s="39"/>
    </row>
    <row r="1021" spans="1:6" s="31" customFormat="1" x14ac:dyDescent="0.4">
      <c r="A1021" s="38"/>
      <c r="E1021" s="39"/>
      <c r="F1021" s="39"/>
    </row>
    <row r="1022" spans="1:6" s="31" customFormat="1" x14ac:dyDescent="0.4">
      <c r="A1022" s="38"/>
      <c r="D1022" s="39"/>
      <c r="F1022" s="39"/>
    </row>
    <row r="1023" spans="1:6" s="31" customFormat="1" x14ac:dyDescent="0.4">
      <c r="A1023" s="38"/>
      <c r="D1023" s="39"/>
      <c r="F1023" s="39"/>
    </row>
    <row r="1024" spans="1:6" s="31" customFormat="1" x14ac:dyDescent="0.4">
      <c r="A1024" s="38"/>
      <c r="D1024" s="39"/>
      <c r="F1024" s="39"/>
    </row>
    <row r="1025" spans="1:6" s="31" customFormat="1" x14ac:dyDescent="0.4">
      <c r="A1025" s="38"/>
      <c r="D1025" s="39"/>
      <c r="F1025" s="39"/>
    </row>
    <row r="1026" spans="1:6" s="31" customFormat="1" x14ac:dyDescent="0.4">
      <c r="A1026" s="38"/>
      <c r="E1026" s="39"/>
      <c r="F1026" s="39"/>
    </row>
    <row r="1027" spans="1:6" s="31" customFormat="1" x14ac:dyDescent="0.4">
      <c r="A1027" s="38"/>
      <c r="D1027" s="39"/>
      <c r="F1027" s="39"/>
    </row>
    <row r="1028" spans="1:6" s="31" customFormat="1" x14ac:dyDescent="0.4">
      <c r="A1028" s="38"/>
      <c r="F1028" s="39"/>
    </row>
    <row r="1029" spans="1:6" s="31" customFormat="1" x14ac:dyDescent="0.4">
      <c r="A1029" s="38"/>
      <c r="D1029" s="39"/>
      <c r="F1029" s="39"/>
    </row>
    <row r="1030" spans="1:6" s="31" customFormat="1" x14ac:dyDescent="0.4">
      <c r="A1030" s="38"/>
      <c r="D1030" s="39"/>
      <c r="F1030" s="39"/>
    </row>
    <row r="1031" spans="1:6" s="31" customFormat="1" x14ac:dyDescent="0.4">
      <c r="A1031" s="38"/>
      <c r="D1031" s="39"/>
      <c r="F1031" s="39"/>
    </row>
    <row r="1032" spans="1:6" s="31" customFormat="1" x14ac:dyDescent="0.4">
      <c r="A1032" s="38"/>
      <c r="D1032" s="39"/>
      <c r="F1032" s="39"/>
    </row>
    <row r="1033" spans="1:6" s="31" customFormat="1" x14ac:dyDescent="0.4">
      <c r="A1033" s="38"/>
      <c r="D1033" s="39"/>
      <c r="F1033" s="39"/>
    </row>
    <row r="1034" spans="1:6" s="31" customFormat="1" x14ac:dyDescent="0.4">
      <c r="A1034" s="38"/>
      <c r="D1034" s="39"/>
      <c r="F1034" s="39"/>
    </row>
    <row r="1035" spans="1:6" s="31" customFormat="1" x14ac:dyDescent="0.4">
      <c r="A1035" s="38"/>
      <c r="D1035" s="39"/>
      <c r="F1035" s="39"/>
    </row>
    <row r="1036" spans="1:6" s="31" customFormat="1" x14ac:dyDescent="0.4">
      <c r="A1036" s="38"/>
      <c r="E1036" s="39"/>
      <c r="F1036" s="39"/>
    </row>
    <row r="1037" spans="1:6" s="31" customFormat="1" x14ac:dyDescent="0.4">
      <c r="A1037" s="38"/>
      <c r="D1037" s="39"/>
      <c r="F1037" s="39"/>
    </row>
    <row r="1038" spans="1:6" s="31" customFormat="1" x14ac:dyDescent="0.4">
      <c r="A1038" s="38"/>
      <c r="F1038" s="39"/>
    </row>
    <row r="1039" spans="1:6" s="31" customFormat="1" x14ac:dyDescent="0.4">
      <c r="A1039" s="38"/>
      <c r="D1039" s="39"/>
      <c r="F1039" s="39"/>
    </row>
    <row r="1040" spans="1:6" s="31" customFormat="1" x14ac:dyDescent="0.4">
      <c r="A1040" s="38"/>
      <c r="D1040" s="39"/>
      <c r="F1040" s="39"/>
    </row>
    <row r="1041" spans="1:6" s="31" customFormat="1" x14ac:dyDescent="0.4">
      <c r="A1041" s="38"/>
      <c r="D1041" s="39"/>
      <c r="F1041" s="39"/>
    </row>
    <row r="1042" spans="1:6" s="31" customFormat="1" x14ac:dyDescent="0.4">
      <c r="A1042" s="38"/>
      <c r="D1042" s="39"/>
      <c r="F1042" s="39"/>
    </row>
    <row r="1043" spans="1:6" s="31" customFormat="1" x14ac:dyDescent="0.4">
      <c r="A1043" s="38"/>
      <c r="D1043" s="39"/>
      <c r="F1043" s="39"/>
    </row>
    <row r="1044" spans="1:6" s="31" customFormat="1" x14ac:dyDescent="0.4">
      <c r="A1044" s="38"/>
      <c r="D1044" s="39"/>
      <c r="F1044" s="39"/>
    </row>
    <row r="1045" spans="1:6" s="31" customFormat="1" x14ac:dyDescent="0.4">
      <c r="A1045" s="38"/>
      <c r="D1045" s="39"/>
      <c r="F1045" s="39"/>
    </row>
    <row r="1046" spans="1:6" s="31" customFormat="1" x14ac:dyDescent="0.4">
      <c r="A1046" s="38"/>
      <c r="E1046" s="39"/>
      <c r="F1046" s="39"/>
    </row>
    <row r="1047" spans="1:6" s="31" customFormat="1" x14ac:dyDescent="0.4">
      <c r="A1047" s="38"/>
      <c r="D1047" s="39"/>
      <c r="F1047" s="39"/>
    </row>
    <row r="1048" spans="1:6" s="31" customFormat="1" x14ac:dyDescent="0.4">
      <c r="A1048" s="38"/>
      <c r="F1048" s="39"/>
    </row>
    <row r="1049" spans="1:6" s="31" customFormat="1" x14ac:dyDescent="0.4">
      <c r="A1049" s="38"/>
      <c r="D1049" s="39"/>
      <c r="F1049" s="39"/>
    </row>
    <row r="1050" spans="1:6" s="31" customFormat="1" x14ac:dyDescent="0.4">
      <c r="A1050" s="38"/>
      <c r="D1050" s="39"/>
      <c r="F1050" s="39"/>
    </row>
    <row r="1051" spans="1:6" s="31" customFormat="1" x14ac:dyDescent="0.4">
      <c r="A1051" s="38"/>
      <c r="D1051" s="39"/>
      <c r="F1051" s="39"/>
    </row>
    <row r="1052" spans="1:6" s="31" customFormat="1" x14ac:dyDescent="0.4">
      <c r="A1052" s="38"/>
      <c r="D1052" s="39"/>
      <c r="F1052" s="39"/>
    </row>
    <row r="1053" spans="1:6" s="31" customFormat="1" x14ac:dyDescent="0.4">
      <c r="A1053" s="38"/>
      <c r="E1053" s="39"/>
      <c r="F1053" s="39"/>
    </row>
    <row r="1054" spans="1:6" s="31" customFormat="1" x14ac:dyDescent="0.4">
      <c r="A1054" s="38"/>
      <c r="F1054" s="39"/>
    </row>
    <row r="1055" spans="1:6" s="31" customFormat="1" x14ac:dyDescent="0.4">
      <c r="A1055" s="38"/>
      <c r="D1055" s="39"/>
      <c r="F1055" s="39"/>
    </row>
    <row r="1056" spans="1:6" s="31" customFormat="1" x14ac:dyDescent="0.4">
      <c r="A1056" s="38"/>
      <c r="D1056" s="39"/>
      <c r="F1056" s="39"/>
    </row>
    <row r="1057" spans="1:6" s="31" customFormat="1" x14ac:dyDescent="0.4">
      <c r="A1057" s="38"/>
      <c r="D1057" s="39"/>
      <c r="F1057" s="39"/>
    </row>
    <row r="1058" spans="1:6" s="31" customFormat="1" x14ac:dyDescent="0.4">
      <c r="A1058" s="38"/>
      <c r="D1058" s="39"/>
      <c r="F1058" s="39"/>
    </row>
    <row r="1059" spans="1:6" s="31" customFormat="1" x14ac:dyDescent="0.4">
      <c r="A1059" s="38"/>
      <c r="F1059" s="39"/>
    </row>
    <row r="1060" spans="1:6" s="31" customFormat="1" x14ac:dyDescent="0.4">
      <c r="A1060" s="38"/>
      <c r="E1060" s="39"/>
      <c r="F1060" s="39"/>
    </row>
    <row r="1061" spans="1:6" s="31" customFormat="1" x14ac:dyDescent="0.4">
      <c r="A1061" s="38"/>
      <c r="D1061" s="39"/>
      <c r="F1061" s="39"/>
    </row>
    <row r="1062" spans="1:6" s="31" customFormat="1" x14ac:dyDescent="0.4">
      <c r="A1062" s="38"/>
      <c r="F1062" s="39"/>
    </row>
    <row r="1063" spans="1:6" s="31" customFormat="1" x14ac:dyDescent="0.4">
      <c r="A1063" s="38"/>
      <c r="D1063" s="39"/>
      <c r="F1063" s="39"/>
    </row>
    <row r="1064" spans="1:6" s="31" customFormat="1" x14ac:dyDescent="0.4">
      <c r="A1064" s="38"/>
      <c r="D1064" s="39"/>
      <c r="F1064" s="39"/>
    </row>
    <row r="1065" spans="1:6" s="31" customFormat="1" x14ac:dyDescent="0.4">
      <c r="A1065" s="38"/>
      <c r="D1065" s="39"/>
      <c r="F1065" s="39"/>
    </row>
    <row r="1066" spans="1:6" s="31" customFormat="1" x14ac:dyDescent="0.4">
      <c r="A1066" s="38"/>
      <c r="D1066" s="39"/>
      <c r="F1066" s="39"/>
    </row>
    <row r="1067" spans="1:6" s="31" customFormat="1" x14ac:dyDescent="0.4">
      <c r="A1067" s="38"/>
      <c r="D1067" s="39"/>
      <c r="F1067" s="39"/>
    </row>
    <row r="1068" spans="1:6" s="31" customFormat="1" x14ac:dyDescent="0.4">
      <c r="A1068" s="38"/>
      <c r="D1068" s="39"/>
      <c r="F1068" s="39"/>
    </row>
    <row r="1069" spans="1:6" s="31" customFormat="1" x14ac:dyDescent="0.4">
      <c r="A1069" s="38"/>
      <c r="D1069" s="39"/>
      <c r="F1069" s="39"/>
    </row>
    <row r="1070" spans="1:6" s="31" customFormat="1" x14ac:dyDescent="0.4">
      <c r="A1070" s="38"/>
      <c r="D1070" s="39"/>
      <c r="F1070" s="39"/>
    </row>
    <row r="1071" spans="1:6" s="31" customFormat="1" x14ac:dyDescent="0.4">
      <c r="A1071" s="38"/>
      <c r="E1071" s="39"/>
      <c r="F1071" s="39"/>
    </row>
    <row r="1072" spans="1:6" s="31" customFormat="1" x14ac:dyDescent="0.4">
      <c r="A1072" s="38"/>
      <c r="D1072" s="39"/>
      <c r="F1072" s="39"/>
    </row>
    <row r="1073" spans="1:6" s="31" customFormat="1" x14ac:dyDescent="0.4">
      <c r="A1073" s="38"/>
      <c r="F1073" s="39"/>
    </row>
    <row r="1074" spans="1:6" s="31" customFormat="1" x14ac:dyDescent="0.4">
      <c r="A1074" s="38"/>
      <c r="D1074" s="39"/>
      <c r="F1074" s="39"/>
    </row>
    <row r="1075" spans="1:6" s="31" customFormat="1" x14ac:dyDescent="0.4">
      <c r="A1075" s="38"/>
      <c r="D1075" s="39"/>
      <c r="F1075" s="39"/>
    </row>
    <row r="1076" spans="1:6" s="31" customFormat="1" x14ac:dyDescent="0.4">
      <c r="A1076" s="38"/>
      <c r="D1076" s="39"/>
      <c r="F1076" s="39"/>
    </row>
    <row r="1077" spans="1:6" s="31" customFormat="1" x14ac:dyDescent="0.4">
      <c r="A1077" s="38"/>
      <c r="D1077" s="39"/>
      <c r="F1077" s="39"/>
    </row>
    <row r="1078" spans="1:6" s="31" customFormat="1" x14ac:dyDescent="0.4">
      <c r="A1078" s="38"/>
      <c r="D1078" s="39"/>
      <c r="F1078" s="39"/>
    </row>
    <row r="1079" spans="1:6" s="31" customFormat="1" x14ac:dyDescent="0.4">
      <c r="A1079" s="38"/>
      <c r="D1079" s="39"/>
      <c r="F1079" s="39"/>
    </row>
    <row r="1080" spans="1:6" s="31" customFormat="1" x14ac:dyDescent="0.4">
      <c r="A1080" s="38"/>
      <c r="D1080" s="39"/>
      <c r="F1080" s="39"/>
    </row>
    <row r="1081" spans="1:6" s="31" customFormat="1" x14ac:dyDescent="0.4">
      <c r="A1081" s="38"/>
      <c r="D1081" s="39"/>
      <c r="F1081" s="39"/>
    </row>
    <row r="1082" spans="1:6" s="31" customFormat="1" x14ac:dyDescent="0.4">
      <c r="A1082" s="38"/>
      <c r="E1082" s="39"/>
      <c r="F1082" s="39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G222"/>
  <sheetViews>
    <sheetView workbookViewId="0">
      <selection activeCell="C11" sqref="C11"/>
    </sheetView>
  </sheetViews>
  <sheetFormatPr defaultRowHeight="18.75" x14ac:dyDescent="0.4"/>
  <cols>
    <col min="1" max="1" width="10.25" style="31" bestFit="1" customWidth="1"/>
    <col min="2" max="2" width="5.625" style="31" bestFit="1" customWidth="1"/>
    <col min="3" max="3" width="27.625" style="31" bestFit="1" customWidth="1"/>
    <col min="4" max="4" width="5.25" style="31" bestFit="1" customWidth="1"/>
    <col min="5" max="5" width="8" style="31" bestFit="1" customWidth="1"/>
    <col min="6" max="6" width="4.5" bestFit="1" customWidth="1"/>
    <col min="7" max="7" width="5.25" style="31" bestFit="1" customWidth="1"/>
    <col min="9" max="9" width="11" bestFit="1" customWidth="1"/>
  </cols>
  <sheetData>
    <row r="1" spans="1:7" s="31" customFormat="1" x14ac:dyDescent="0.4">
      <c r="A1" s="29" t="s">
        <v>64</v>
      </c>
    </row>
    <row r="2" spans="1:7" s="31" customFormat="1" x14ac:dyDescent="0.4">
      <c r="A2" s="30" t="s">
        <v>43</v>
      </c>
      <c r="B2" s="30" t="s">
        <v>65</v>
      </c>
      <c r="C2" s="30" t="s">
        <v>66</v>
      </c>
      <c r="D2" s="30" t="s">
        <v>67</v>
      </c>
      <c r="E2" s="30" t="s">
        <v>68</v>
      </c>
      <c r="F2" s="30" t="s">
        <v>46</v>
      </c>
      <c r="G2" s="30" t="s">
        <v>69</v>
      </c>
    </row>
    <row r="3" spans="1:7" x14ac:dyDescent="0.4">
      <c r="A3" s="38">
        <v>44041</v>
      </c>
      <c r="B3" t="s">
        <v>77</v>
      </c>
      <c r="C3"/>
      <c r="D3" s="39" t="s">
        <v>78</v>
      </c>
      <c r="E3"/>
      <c r="F3" s="39">
        <v>693</v>
      </c>
      <c r="G3"/>
    </row>
    <row r="4" spans="1:7" x14ac:dyDescent="0.4">
      <c r="A4" s="38">
        <v>44049</v>
      </c>
      <c r="B4" s="31" t="s">
        <v>182</v>
      </c>
      <c r="D4" s="39" t="s">
        <v>78</v>
      </c>
      <c r="F4" s="39">
        <v>652</v>
      </c>
    </row>
    <row r="5" spans="1:7" x14ac:dyDescent="0.4">
      <c r="A5" s="38">
        <v>44056</v>
      </c>
      <c r="B5" s="31" t="s">
        <v>194</v>
      </c>
      <c r="D5" s="39" t="s">
        <v>78</v>
      </c>
      <c r="F5" s="39">
        <v>499</v>
      </c>
    </row>
    <row r="6" spans="1:7" x14ac:dyDescent="0.4">
      <c r="A6" s="38">
        <v>44059</v>
      </c>
      <c r="B6" s="31" t="s">
        <v>85</v>
      </c>
      <c r="D6" s="39" t="s">
        <v>78</v>
      </c>
      <c r="F6" s="39">
        <v>390</v>
      </c>
    </row>
    <row r="7" spans="1:7" x14ac:dyDescent="0.4">
      <c r="A7" s="38">
        <v>44073</v>
      </c>
      <c r="B7" s="31" t="s">
        <v>206</v>
      </c>
      <c r="D7" s="39" t="s">
        <v>78</v>
      </c>
      <c r="F7" s="39">
        <v>100</v>
      </c>
    </row>
    <row r="8" spans="1:7" x14ac:dyDescent="0.4">
      <c r="A8" s="38"/>
      <c r="E8" s="39"/>
      <c r="F8" s="39"/>
    </row>
    <row r="9" spans="1:7" x14ac:dyDescent="0.4">
      <c r="A9" s="38"/>
      <c r="D9" s="39"/>
      <c r="F9" s="39"/>
    </row>
    <row r="10" spans="1:7" x14ac:dyDescent="0.4">
      <c r="A10" s="38"/>
      <c r="F10" s="39"/>
    </row>
    <row r="11" spans="1:7" x14ac:dyDescent="0.4">
      <c r="A11" s="38"/>
      <c r="D11" s="39"/>
      <c r="F11" s="39"/>
    </row>
    <row r="12" spans="1:7" x14ac:dyDescent="0.4">
      <c r="A12" s="38"/>
      <c r="D12" s="39"/>
      <c r="F12" s="39"/>
    </row>
    <row r="13" spans="1:7" x14ac:dyDescent="0.4">
      <c r="A13" s="38"/>
      <c r="D13" s="39"/>
      <c r="F13" s="39"/>
    </row>
    <row r="14" spans="1:7" x14ac:dyDescent="0.4">
      <c r="A14" s="38"/>
      <c r="D14" s="39"/>
      <c r="F14" s="39"/>
    </row>
    <row r="15" spans="1:7" x14ac:dyDescent="0.4">
      <c r="A15" s="38"/>
      <c r="D15" s="39"/>
      <c r="F15" s="39"/>
    </row>
    <row r="16" spans="1:7" x14ac:dyDescent="0.4">
      <c r="A16" s="38"/>
      <c r="D16" s="39"/>
      <c r="F16" s="39"/>
    </row>
    <row r="17" spans="1:6" x14ac:dyDescent="0.4">
      <c r="A17" s="38"/>
      <c r="F17" s="39"/>
    </row>
    <row r="18" spans="1:6" x14ac:dyDescent="0.4">
      <c r="A18" s="38"/>
      <c r="D18" s="39"/>
      <c r="F18" s="39"/>
    </row>
    <row r="19" spans="1:6" x14ac:dyDescent="0.4">
      <c r="A19" s="38"/>
      <c r="D19" s="39"/>
      <c r="F19" s="39"/>
    </row>
    <row r="20" spans="1:6" x14ac:dyDescent="0.4">
      <c r="A20" s="38"/>
      <c r="D20" s="39"/>
      <c r="F20" s="39"/>
    </row>
    <row r="21" spans="1:6" x14ac:dyDescent="0.4">
      <c r="A21" s="38"/>
      <c r="E21" s="39"/>
      <c r="F21" s="39"/>
    </row>
    <row r="22" spans="1:6" x14ac:dyDescent="0.4">
      <c r="A22" s="38"/>
      <c r="D22" s="39"/>
      <c r="F22" s="39"/>
    </row>
    <row r="23" spans="1:6" x14ac:dyDescent="0.4">
      <c r="A23" s="38"/>
      <c r="F23" s="39"/>
    </row>
    <row r="24" spans="1:6" x14ac:dyDescent="0.4">
      <c r="A24" s="38"/>
      <c r="D24" s="39"/>
      <c r="F24" s="39"/>
    </row>
    <row r="25" spans="1:6" x14ac:dyDescent="0.4">
      <c r="A25" s="38"/>
      <c r="D25" s="39"/>
      <c r="F25" s="39"/>
    </row>
    <row r="26" spans="1:6" x14ac:dyDescent="0.4">
      <c r="A26" s="38"/>
      <c r="D26" s="39"/>
      <c r="F26" s="39"/>
    </row>
    <row r="27" spans="1:6" x14ac:dyDescent="0.4">
      <c r="A27" s="38"/>
      <c r="D27" s="39"/>
      <c r="F27" s="39"/>
    </row>
    <row r="28" spans="1:6" x14ac:dyDescent="0.4">
      <c r="A28" s="38"/>
      <c r="D28" s="39"/>
      <c r="F28" s="39"/>
    </row>
    <row r="29" spans="1:6" x14ac:dyDescent="0.4">
      <c r="A29" s="38"/>
      <c r="D29" s="39"/>
      <c r="F29" s="39"/>
    </row>
    <row r="30" spans="1:6" x14ac:dyDescent="0.4">
      <c r="A30" s="38"/>
      <c r="D30" s="39"/>
      <c r="F30" s="39"/>
    </row>
    <row r="31" spans="1:6" x14ac:dyDescent="0.4">
      <c r="A31" s="38"/>
      <c r="E31" s="39"/>
      <c r="F31" s="39"/>
    </row>
    <row r="32" spans="1:6" x14ac:dyDescent="0.4">
      <c r="A32" s="38"/>
      <c r="D32" s="39"/>
      <c r="F32" s="39"/>
    </row>
    <row r="33" spans="1:6" x14ac:dyDescent="0.4">
      <c r="A33" s="38"/>
      <c r="F33" s="39"/>
    </row>
    <row r="34" spans="1:6" x14ac:dyDescent="0.4">
      <c r="A34" s="38"/>
      <c r="D34" s="39"/>
      <c r="F34" s="39"/>
    </row>
    <row r="35" spans="1:6" x14ac:dyDescent="0.4">
      <c r="A35" s="38"/>
      <c r="D35" s="39"/>
      <c r="F35" s="39"/>
    </row>
    <row r="36" spans="1:6" x14ac:dyDescent="0.4">
      <c r="A36" s="38"/>
      <c r="F36" s="39"/>
    </row>
    <row r="37" spans="1:6" x14ac:dyDescent="0.4">
      <c r="A37" s="38"/>
      <c r="D37" s="39"/>
      <c r="F37" s="39"/>
    </row>
    <row r="38" spans="1:6" x14ac:dyDescent="0.4">
      <c r="A38" s="38"/>
      <c r="D38" s="39"/>
      <c r="F38" s="39"/>
    </row>
    <row r="39" spans="1:6" x14ac:dyDescent="0.4">
      <c r="A39" s="38"/>
      <c r="D39" s="39"/>
      <c r="F39" s="39"/>
    </row>
    <row r="40" spans="1:6" x14ac:dyDescent="0.4">
      <c r="A40" s="38"/>
      <c r="D40" s="39"/>
      <c r="F40" s="39"/>
    </row>
    <row r="41" spans="1:6" x14ac:dyDescent="0.4">
      <c r="A41" s="38"/>
      <c r="D41" s="39"/>
      <c r="F41" s="39"/>
    </row>
    <row r="42" spans="1:6" x14ac:dyDescent="0.4">
      <c r="A42" s="38"/>
      <c r="D42" s="39"/>
      <c r="F42" s="39"/>
    </row>
    <row r="43" spans="1:6" x14ac:dyDescent="0.4">
      <c r="A43" s="38"/>
      <c r="E43" s="39"/>
      <c r="F43" s="39"/>
    </row>
    <row r="44" spans="1:6" x14ac:dyDescent="0.4">
      <c r="A44" s="38"/>
      <c r="D44" s="39"/>
      <c r="F44" s="39"/>
    </row>
    <row r="45" spans="1:6" x14ac:dyDescent="0.4">
      <c r="A45" s="38"/>
      <c r="F45" s="39"/>
    </row>
    <row r="46" spans="1:6" x14ac:dyDescent="0.4">
      <c r="A46" s="38"/>
      <c r="D46" s="39"/>
      <c r="F46" s="39"/>
    </row>
    <row r="47" spans="1:6" x14ac:dyDescent="0.4">
      <c r="A47" s="38"/>
      <c r="D47" s="39"/>
      <c r="F47" s="39"/>
    </row>
    <row r="48" spans="1:6" x14ac:dyDescent="0.4">
      <c r="A48" s="38"/>
      <c r="D48" s="39"/>
      <c r="F48" s="39"/>
    </row>
    <row r="49" spans="1:6" x14ac:dyDescent="0.4">
      <c r="A49" s="38"/>
      <c r="D49" s="39"/>
      <c r="F49" s="39"/>
    </row>
    <row r="50" spans="1:6" x14ac:dyDescent="0.4">
      <c r="A50" s="38"/>
      <c r="E50" s="39"/>
      <c r="F50" s="39"/>
    </row>
    <row r="51" spans="1:6" x14ac:dyDescent="0.4">
      <c r="A51" s="38"/>
      <c r="E51" s="39"/>
      <c r="F51" s="39"/>
    </row>
    <row r="52" spans="1:6" x14ac:dyDescent="0.4">
      <c r="A52" s="38"/>
      <c r="D52" s="39"/>
      <c r="F52" s="39"/>
    </row>
    <row r="53" spans="1:6" x14ac:dyDescent="0.4">
      <c r="A53" s="38"/>
      <c r="D53" s="39"/>
      <c r="F53" s="39"/>
    </row>
    <row r="54" spans="1:6" x14ac:dyDescent="0.4">
      <c r="A54" s="38"/>
      <c r="D54" s="39"/>
      <c r="F54" s="39"/>
    </row>
    <row r="55" spans="1:6" x14ac:dyDescent="0.4">
      <c r="A55" s="38"/>
      <c r="D55" s="39"/>
      <c r="F55" s="39"/>
    </row>
    <row r="56" spans="1:6" x14ac:dyDescent="0.4">
      <c r="A56" s="38"/>
      <c r="E56" s="39"/>
      <c r="F56" s="39"/>
    </row>
    <row r="57" spans="1:6" x14ac:dyDescent="0.4">
      <c r="A57" s="38"/>
      <c r="D57" s="39"/>
      <c r="F57" s="39"/>
    </row>
    <row r="58" spans="1:6" x14ac:dyDescent="0.4">
      <c r="A58" s="38"/>
      <c r="F58" s="39"/>
    </row>
    <row r="59" spans="1:6" x14ac:dyDescent="0.4">
      <c r="A59" s="38"/>
      <c r="D59" s="39"/>
      <c r="F59" s="39"/>
    </row>
    <row r="60" spans="1:6" x14ac:dyDescent="0.4">
      <c r="A60" s="38"/>
      <c r="D60" s="39"/>
      <c r="F60" s="39"/>
    </row>
    <row r="61" spans="1:6" x14ac:dyDescent="0.4">
      <c r="A61" s="38"/>
      <c r="D61" s="39"/>
      <c r="F61" s="39"/>
    </row>
    <row r="62" spans="1:6" x14ac:dyDescent="0.4">
      <c r="A62" s="38"/>
      <c r="D62" s="39"/>
      <c r="F62" s="39"/>
    </row>
    <row r="63" spans="1:6" x14ac:dyDescent="0.4">
      <c r="A63" s="38"/>
      <c r="D63" s="39"/>
      <c r="F63" s="39"/>
    </row>
    <row r="64" spans="1:6" x14ac:dyDescent="0.4">
      <c r="A64" s="38"/>
      <c r="D64" s="39"/>
      <c r="F64" s="39"/>
    </row>
    <row r="65" spans="1:6" x14ac:dyDescent="0.4">
      <c r="A65" s="38"/>
      <c r="D65" s="39"/>
      <c r="F65" s="39"/>
    </row>
    <row r="66" spans="1:6" x14ac:dyDescent="0.4">
      <c r="A66" s="38"/>
      <c r="E66" s="39"/>
      <c r="F66" s="39"/>
    </row>
    <row r="67" spans="1:6" x14ac:dyDescent="0.4">
      <c r="A67" s="38"/>
      <c r="D67" s="39"/>
      <c r="F67" s="39"/>
    </row>
    <row r="68" spans="1:6" x14ac:dyDescent="0.4">
      <c r="A68" s="38"/>
      <c r="F68" s="39"/>
    </row>
    <row r="69" spans="1:6" x14ac:dyDescent="0.4">
      <c r="A69" s="38"/>
      <c r="D69" s="39"/>
      <c r="F69" s="39"/>
    </row>
    <row r="70" spans="1:6" x14ac:dyDescent="0.4">
      <c r="A70" s="38"/>
      <c r="D70" s="39"/>
      <c r="F70" s="39"/>
    </row>
    <row r="71" spans="1:6" x14ac:dyDescent="0.4">
      <c r="A71" s="38"/>
      <c r="D71" s="39"/>
      <c r="F71" s="39"/>
    </row>
    <row r="72" spans="1:6" x14ac:dyDescent="0.4">
      <c r="A72" s="38"/>
      <c r="D72" s="39"/>
      <c r="F72" s="39"/>
    </row>
    <row r="73" spans="1:6" x14ac:dyDescent="0.4">
      <c r="A73" s="38"/>
      <c r="D73" s="39"/>
      <c r="F73" s="39"/>
    </row>
    <row r="74" spans="1:6" x14ac:dyDescent="0.4">
      <c r="A74" s="38"/>
      <c r="D74" s="39"/>
      <c r="F74" s="39"/>
    </row>
    <row r="75" spans="1:6" x14ac:dyDescent="0.4">
      <c r="A75" s="38"/>
      <c r="D75" s="39"/>
      <c r="F75" s="39"/>
    </row>
    <row r="76" spans="1:6" x14ac:dyDescent="0.4">
      <c r="A76" s="38"/>
      <c r="E76" s="39"/>
      <c r="F76" s="39"/>
    </row>
    <row r="77" spans="1:6" x14ac:dyDescent="0.4">
      <c r="A77" s="38"/>
      <c r="D77" s="39"/>
      <c r="F77" s="39"/>
    </row>
    <row r="78" spans="1:6" x14ac:dyDescent="0.4">
      <c r="A78" s="38"/>
      <c r="F78" s="39"/>
    </row>
    <row r="79" spans="1:6" x14ac:dyDescent="0.4">
      <c r="A79" s="38"/>
      <c r="D79" s="39"/>
      <c r="F79" s="39"/>
    </row>
    <row r="80" spans="1:6" x14ac:dyDescent="0.4">
      <c r="A80" s="38"/>
      <c r="D80" s="39"/>
      <c r="F80" s="39"/>
    </row>
    <row r="81" spans="1:6" x14ac:dyDescent="0.4">
      <c r="A81" s="38"/>
      <c r="D81" s="39"/>
      <c r="F81" s="39"/>
    </row>
    <row r="82" spans="1:6" x14ac:dyDescent="0.4">
      <c r="A82" s="38"/>
      <c r="D82" s="39"/>
      <c r="F82" s="39"/>
    </row>
    <row r="83" spans="1:6" x14ac:dyDescent="0.4">
      <c r="A83" s="38"/>
      <c r="E83" s="39"/>
      <c r="F83" s="39"/>
    </row>
    <row r="84" spans="1:6" x14ac:dyDescent="0.4">
      <c r="A84" s="38"/>
      <c r="F84" s="39"/>
    </row>
    <row r="85" spans="1:6" x14ac:dyDescent="0.4">
      <c r="A85" s="38"/>
      <c r="D85" s="39"/>
      <c r="F85" s="39"/>
    </row>
    <row r="86" spans="1:6" x14ac:dyDescent="0.4">
      <c r="A86" s="38"/>
      <c r="D86" s="39"/>
      <c r="F86" s="39"/>
    </row>
    <row r="87" spans="1:6" x14ac:dyDescent="0.4">
      <c r="A87" s="38"/>
      <c r="D87" s="39"/>
      <c r="F87" s="39"/>
    </row>
    <row r="88" spans="1:6" x14ac:dyDescent="0.4">
      <c r="A88" s="38"/>
      <c r="D88" s="39"/>
      <c r="F88" s="39"/>
    </row>
    <row r="89" spans="1:6" x14ac:dyDescent="0.4">
      <c r="A89" s="38"/>
      <c r="F89" s="39"/>
    </row>
    <row r="90" spans="1:6" x14ac:dyDescent="0.4">
      <c r="A90" s="38"/>
      <c r="E90" s="39"/>
      <c r="F90" s="39"/>
    </row>
    <row r="91" spans="1:6" x14ac:dyDescent="0.4">
      <c r="A91" s="38"/>
      <c r="D91" s="39"/>
      <c r="F91" s="39"/>
    </row>
    <row r="92" spans="1:6" x14ac:dyDescent="0.4">
      <c r="A92" s="38"/>
      <c r="F92" s="39"/>
    </row>
    <row r="93" spans="1:6" x14ac:dyDescent="0.4">
      <c r="A93" s="38"/>
      <c r="D93" s="39"/>
      <c r="F93" s="39"/>
    </row>
    <row r="94" spans="1:6" x14ac:dyDescent="0.4">
      <c r="A94" s="38"/>
      <c r="D94" s="39"/>
      <c r="F94" s="39"/>
    </row>
    <row r="95" spans="1:6" x14ac:dyDescent="0.4">
      <c r="A95" s="38"/>
      <c r="D95" s="39"/>
      <c r="F95" s="39"/>
    </row>
    <row r="96" spans="1:6" x14ac:dyDescent="0.4">
      <c r="A96" s="38"/>
      <c r="D96" s="39"/>
      <c r="F96" s="39"/>
    </row>
    <row r="97" spans="1:6" x14ac:dyDescent="0.4">
      <c r="A97" s="38"/>
      <c r="D97" s="39"/>
      <c r="F97" s="39"/>
    </row>
    <row r="98" spans="1:6" x14ac:dyDescent="0.4">
      <c r="A98" s="38"/>
      <c r="D98" s="39"/>
      <c r="F98" s="39"/>
    </row>
    <row r="99" spans="1:6" x14ac:dyDescent="0.4">
      <c r="A99" s="38"/>
      <c r="D99" s="39"/>
      <c r="F99" s="39"/>
    </row>
    <row r="100" spans="1:6" x14ac:dyDescent="0.4">
      <c r="A100" s="38"/>
      <c r="D100" s="39"/>
      <c r="F100" s="39"/>
    </row>
    <row r="101" spans="1:6" x14ac:dyDescent="0.4">
      <c r="A101" s="38"/>
      <c r="E101" s="39"/>
      <c r="F101" s="39"/>
    </row>
    <row r="102" spans="1:6" x14ac:dyDescent="0.4">
      <c r="A102" s="38"/>
      <c r="D102" s="39"/>
      <c r="F102" s="39"/>
    </row>
    <row r="103" spans="1:6" x14ac:dyDescent="0.4">
      <c r="A103" s="38"/>
      <c r="F103" s="39"/>
    </row>
    <row r="104" spans="1:6" x14ac:dyDescent="0.4">
      <c r="A104" s="38"/>
      <c r="D104" s="39"/>
      <c r="F104" s="39"/>
    </row>
    <row r="105" spans="1:6" x14ac:dyDescent="0.4">
      <c r="A105" s="38"/>
      <c r="D105" s="39"/>
      <c r="F105" s="39"/>
    </row>
    <row r="106" spans="1:6" x14ac:dyDescent="0.4">
      <c r="A106" s="38"/>
      <c r="D106" s="39"/>
      <c r="F106" s="39"/>
    </row>
    <row r="107" spans="1:6" x14ac:dyDescent="0.4">
      <c r="A107" s="38"/>
      <c r="D107" s="39"/>
      <c r="F107" s="39"/>
    </row>
    <row r="108" spans="1:6" x14ac:dyDescent="0.4">
      <c r="A108" s="38"/>
      <c r="D108" s="39"/>
      <c r="F108" s="39"/>
    </row>
    <row r="109" spans="1:6" x14ac:dyDescent="0.4">
      <c r="A109" s="38"/>
      <c r="D109" s="39"/>
      <c r="F109" s="39"/>
    </row>
    <row r="110" spans="1:6" x14ac:dyDescent="0.4">
      <c r="A110" s="38"/>
      <c r="D110" s="39"/>
      <c r="F110" s="39"/>
    </row>
    <row r="111" spans="1:6" x14ac:dyDescent="0.4">
      <c r="A111" s="38"/>
      <c r="D111" s="39"/>
      <c r="F111" s="39"/>
    </row>
    <row r="112" spans="1:6" x14ac:dyDescent="0.4">
      <c r="A112" s="38"/>
      <c r="E112" s="39"/>
      <c r="F112" s="39"/>
    </row>
    <row r="113" spans="1:6" x14ac:dyDescent="0.4">
      <c r="A113" s="38"/>
      <c r="D113" s="39"/>
      <c r="F113" s="39"/>
    </row>
    <row r="114" spans="1:6" x14ac:dyDescent="0.4">
      <c r="A114" s="38"/>
      <c r="D114" s="39"/>
      <c r="F114" s="39"/>
    </row>
    <row r="115" spans="1:6" x14ac:dyDescent="0.4">
      <c r="A115" s="38"/>
      <c r="D115" s="39"/>
      <c r="F115" s="39"/>
    </row>
    <row r="116" spans="1:6" x14ac:dyDescent="0.4">
      <c r="A116" s="38"/>
      <c r="D116" s="39"/>
      <c r="F116" s="39"/>
    </row>
    <row r="117" spans="1:6" x14ac:dyDescent="0.4">
      <c r="A117" s="38"/>
      <c r="D117" s="39"/>
      <c r="F117" s="39"/>
    </row>
    <row r="118" spans="1:6" x14ac:dyDescent="0.4">
      <c r="A118" s="38"/>
      <c r="E118" s="39"/>
      <c r="F118" s="39"/>
    </row>
    <row r="119" spans="1:6" x14ac:dyDescent="0.4">
      <c r="A119" s="38"/>
      <c r="D119" s="39"/>
      <c r="F119" s="39"/>
    </row>
    <row r="120" spans="1:6" x14ac:dyDescent="0.4">
      <c r="A120" s="38"/>
      <c r="F120" s="39"/>
    </row>
    <row r="121" spans="1:6" x14ac:dyDescent="0.4">
      <c r="A121" s="38"/>
      <c r="D121" s="39"/>
      <c r="F121" s="39"/>
    </row>
    <row r="122" spans="1:6" x14ac:dyDescent="0.4">
      <c r="A122" s="38"/>
      <c r="D122" s="39"/>
      <c r="F122" s="39"/>
    </row>
    <row r="123" spans="1:6" x14ac:dyDescent="0.4">
      <c r="A123" s="38"/>
      <c r="D123" s="39"/>
      <c r="F123" s="39"/>
    </row>
    <row r="124" spans="1:6" x14ac:dyDescent="0.4">
      <c r="A124" s="38"/>
      <c r="D124" s="39"/>
      <c r="F124" s="39"/>
    </row>
    <row r="125" spans="1:6" x14ac:dyDescent="0.4">
      <c r="A125" s="38"/>
      <c r="D125" s="39"/>
      <c r="F125" s="39"/>
    </row>
    <row r="126" spans="1:6" x14ac:dyDescent="0.4">
      <c r="A126" s="38"/>
      <c r="D126" s="39"/>
      <c r="F126" s="39"/>
    </row>
    <row r="127" spans="1:6" x14ac:dyDescent="0.4">
      <c r="A127" s="38"/>
      <c r="F127" s="39"/>
    </row>
    <row r="128" spans="1:6" x14ac:dyDescent="0.4">
      <c r="A128" s="38"/>
      <c r="D128" s="39"/>
      <c r="F128" s="39"/>
    </row>
    <row r="129" spans="1:6" x14ac:dyDescent="0.4">
      <c r="A129" s="38"/>
      <c r="D129" s="39"/>
      <c r="F129" s="39"/>
    </row>
    <row r="130" spans="1:6" x14ac:dyDescent="0.4">
      <c r="A130" s="38"/>
      <c r="D130" s="39"/>
      <c r="F130" s="39"/>
    </row>
    <row r="131" spans="1:6" x14ac:dyDescent="0.4">
      <c r="A131" s="38"/>
      <c r="E131" s="39"/>
      <c r="F131" s="39"/>
    </row>
    <row r="132" spans="1:6" x14ac:dyDescent="0.4">
      <c r="A132" s="38"/>
      <c r="D132" s="39"/>
      <c r="F132" s="39"/>
    </row>
    <row r="133" spans="1:6" x14ac:dyDescent="0.4">
      <c r="A133" s="38"/>
      <c r="F133" s="39"/>
    </row>
    <row r="134" spans="1:6" x14ac:dyDescent="0.4">
      <c r="A134" s="38"/>
      <c r="D134" s="39"/>
      <c r="F134" s="39"/>
    </row>
    <row r="135" spans="1:6" x14ac:dyDescent="0.4">
      <c r="A135" s="38"/>
      <c r="D135" s="39"/>
      <c r="F135" s="39"/>
    </row>
    <row r="136" spans="1:6" x14ac:dyDescent="0.4">
      <c r="A136" s="38"/>
      <c r="D136" s="39"/>
      <c r="F136" s="39"/>
    </row>
    <row r="137" spans="1:6" x14ac:dyDescent="0.4">
      <c r="A137" s="38"/>
      <c r="D137" s="39"/>
      <c r="F137" s="39"/>
    </row>
    <row r="138" spans="1:6" x14ac:dyDescent="0.4">
      <c r="A138" s="38"/>
      <c r="D138" s="39"/>
      <c r="F138" s="39"/>
    </row>
    <row r="139" spans="1:6" x14ac:dyDescent="0.4">
      <c r="A139" s="38"/>
      <c r="D139" s="39"/>
      <c r="F139" s="39"/>
    </row>
    <row r="140" spans="1:6" x14ac:dyDescent="0.4">
      <c r="A140" s="38"/>
      <c r="D140" s="39"/>
      <c r="F140" s="39"/>
    </row>
    <row r="141" spans="1:6" x14ac:dyDescent="0.4">
      <c r="A141" s="38"/>
      <c r="E141" s="39"/>
      <c r="F141" s="39"/>
    </row>
    <row r="142" spans="1:6" x14ac:dyDescent="0.4">
      <c r="A142" s="38"/>
      <c r="D142" s="39"/>
      <c r="F142" s="39"/>
    </row>
    <row r="143" spans="1:6" x14ac:dyDescent="0.4">
      <c r="A143" s="38"/>
      <c r="F143" s="39"/>
    </row>
    <row r="144" spans="1:6" x14ac:dyDescent="0.4">
      <c r="A144" s="38"/>
      <c r="D144" s="39"/>
      <c r="F144" s="39"/>
    </row>
    <row r="145" spans="1:6" x14ac:dyDescent="0.4">
      <c r="A145" s="38"/>
      <c r="D145" s="39"/>
      <c r="F145" s="39"/>
    </row>
    <row r="146" spans="1:6" x14ac:dyDescent="0.4">
      <c r="A146" s="38"/>
      <c r="F146" s="39"/>
    </row>
    <row r="147" spans="1:6" x14ac:dyDescent="0.4">
      <c r="A147" s="38"/>
      <c r="D147" s="39"/>
      <c r="F147" s="39"/>
    </row>
    <row r="148" spans="1:6" x14ac:dyDescent="0.4">
      <c r="A148" s="38"/>
      <c r="D148" s="39"/>
      <c r="F148" s="39"/>
    </row>
    <row r="149" spans="1:6" x14ac:dyDescent="0.4">
      <c r="A149" s="38"/>
      <c r="D149" s="39"/>
      <c r="F149" s="39"/>
    </row>
    <row r="150" spans="1:6" x14ac:dyDescent="0.4">
      <c r="A150" s="38"/>
      <c r="D150" s="39"/>
      <c r="F150" s="39"/>
    </row>
    <row r="151" spans="1:6" x14ac:dyDescent="0.4">
      <c r="A151" s="38"/>
      <c r="D151" s="39"/>
      <c r="F151" s="39"/>
    </row>
    <row r="152" spans="1:6" x14ac:dyDescent="0.4">
      <c r="A152" s="38"/>
      <c r="D152" s="39"/>
      <c r="F152" s="39"/>
    </row>
    <row r="153" spans="1:6" x14ac:dyDescent="0.4">
      <c r="A153" s="38"/>
      <c r="E153" s="39"/>
      <c r="F153" s="39"/>
    </row>
    <row r="154" spans="1:6" x14ac:dyDescent="0.4">
      <c r="A154" s="38"/>
      <c r="D154" s="39"/>
      <c r="F154" s="39"/>
    </row>
    <row r="155" spans="1:6" x14ac:dyDescent="0.4">
      <c r="A155" s="38"/>
      <c r="F155" s="39"/>
    </row>
    <row r="156" spans="1:6" x14ac:dyDescent="0.4">
      <c r="A156" s="38"/>
      <c r="D156" s="39"/>
      <c r="F156" s="39"/>
    </row>
    <row r="157" spans="1:6" x14ac:dyDescent="0.4">
      <c r="A157" s="38"/>
      <c r="D157" s="39"/>
      <c r="F157" s="39"/>
    </row>
    <row r="158" spans="1:6" x14ac:dyDescent="0.4">
      <c r="A158" s="38"/>
      <c r="D158" s="39"/>
      <c r="F158" s="39"/>
    </row>
    <row r="159" spans="1:6" x14ac:dyDescent="0.4">
      <c r="A159" s="38"/>
      <c r="D159" s="39"/>
      <c r="F159" s="39"/>
    </row>
    <row r="160" spans="1:6" x14ac:dyDescent="0.4">
      <c r="A160" s="38"/>
      <c r="E160" s="39"/>
      <c r="F160" s="39"/>
    </row>
    <row r="161" spans="1:6" x14ac:dyDescent="0.4">
      <c r="A161" s="38"/>
      <c r="E161" s="39"/>
      <c r="F161" s="39"/>
    </row>
    <row r="162" spans="1:6" x14ac:dyDescent="0.4">
      <c r="A162" s="38"/>
      <c r="D162" s="39"/>
      <c r="F162" s="39"/>
    </row>
    <row r="163" spans="1:6" x14ac:dyDescent="0.4">
      <c r="A163" s="38"/>
      <c r="D163" s="39"/>
      <c r="F163" s="39"/>
    </row>
    <row r="164" spans="1:6" x14ac:dyDescent="0.4">
      <c r="A164" s="38"/>
      <c r="D164" s="39"/>
      <c r="F164" s="39"/>
    </row>
    <row r="165" spans="1:6" x14ac:dyDescent="0.4">
      <c r="A165" s="38"/>
      <c r="D165" s="39"/>
      <c r="F165" s="39"/>
    </row>
    <row r="166" spans="1:6" x14ac:dyDescent="0.4">
      <c r="A166" s="38"/>
      <c r="E166" s="39"/>
      <c r="F166" s="39"/>
    </row>
    <row r="167" spans="1:6" x14ac:dyDescent="0.4">
      <c r="A167" s="38"/>
      <c r="D167" s="39"/>
      <c r="F167" s="39"/>
    </row>
    <row r="168" spans="1:6" x14ac:dyDescent="0.4">
      <c r="A168" s="38"/>
      <c r="F168" s="39"/>
    </row>
    <row r="169" spans="1:6" x14ac:dyDescent="0.4">
      <c r="A169" s="38"/>
      <c r="D169" s="39"/>
      <c r="F169" s="39"/>
    </row>
    <row r="170" spans="1:6" x14ac:dyDescent="0.4">
      <c r="A170" s="38"/>
      <c r="D170" s="39"/>
      <c r="F170" s="39"/>
    </row>
    <row r="171" spans="1:6" x14ac:dyDescent="0.4">
      <c r="A171" s="38"/>
      <c r="D171" s="39"/>
      <c r="F171" s="39"/>
    </row>
    <row r="172" spans="1:6" x14ac:dyDescent="0.4">
      <c r="A172" s="38"/>
      <c r="D172" s="39"/>
      <c r="F172" s="39"/>
    </row>
    <row r="173" spans="1:6" x14ac:dyDescent="0.4">
      <c r="A173" s="38"/>
      <c r="D173" s="39"/>
      <c r="F173" s="39"/>
    </row>
    <row r="174" spans="1:6" x14ac:dyDescent="0.4">
      <c r="A174" s="38"/>
      <c r="D174" s="39"/>
      <c r="F174" s="39"/>
    </row>
    <row r="175" spans="1:6" x14ac:dyDescent="0.4">
      <c r="A175" s="38"/>
      <c r="D175" s="39"/>
      <c r="F175" s="39"/>
    </row>
    <row r="176" spans="1:6" x14ac:dyDescent="0.4">
      <c r="A176" s="38"/>
      <c r="E176" s="39"/>
      <c r="F176" s="39"/>
    </row>
    <row r="177" spans="1:6" x14ac:dyDescent="0.4">
      <c r="A177" s="38"/>
      <c r="D177" s="39"/>
      <c r="F177" s="39"/>
    </row>
    <row r="178" spans="1:6" x14ac:dyDescent="0.4">
      <c r="A178" s="38"/>
      <c r="F178" s="39"/>
    </row>
    <row r="179" spans="1:6" x14ac:dyDescent="0.4">
      <c r="A179" s="38"/>
      <c r="D179" s="39"/>
      <c r="F179" s="39"/>
    </row>
    <row r="180" spans="1:6" x14ac:dyDescent="0.4">
      <c r="A180" s="38"/>
      <c r="D180" s="39"/>
      <c r="F180" s="39"/>
    </row>
    <row r="181" spans="1:6" x14ac:dyDescent="0.4">
      <c r="A181" s="38"/>
      <c r="D181" s="39"/>
      <c r="F181" s="39"/>
    </row>
    <row r="182" spans="1:6" x14ac:dyDescent="0.4">
      <c r="A182" s="38"/>
      <c r="D182" s="39"/>
      <c r="F182" s="39"/>
    </row>
    <row r="183" spans="1:6" x14ac:dyDescent="0.4">
      <c r="A183" s="38"/>
      <c r="D183" s="39"/>
      <c r="F183" s="39"/>
    </row>
    <row r="184" spans="1:6" x14ac:dyDescent="0.4">
      <c r="A184" s="38"/>
      <c r="D184" s="39"/>
      <c r="F184" s="39"/>
    </row>
    <row r="185" spans="1:6" x14ac:dyDescent="0.4">
      <c r="A185" s="38"/>
      <c r="D185" s="39"/>
      <c r="F185" s="39"/>
    </row>
    <row r="186" spans="1:6" x14ac:dyDescent="0.4">
      <c r="A186" s="38"/>
      <c r="E186" s="39"/>
      <c r="F186" s="39"/>
    </row>
    <row r="187" spans="1:6" x14ac:dyDescent="0.4">
      <c r="A187" s="38"/>
      <c r="D187" s="39"/>
      <c r="F187" s="39"/>
    </row>
    <row r="188" spans="1:6" x14ac:dyDescent="0.4">
      <c r="A188" s="38"/>
      <c r="F188" s="39"/>
    </row>
    <row r="189" spans="1:6" x14ac:dyDescent="0.4">
      <c r="A189" s="38"/>
      <c r="D189" s="39"/>
      <c r="F189" s="39"/>
    </row>
    <row r="190" spans="1:6" x14ac:dyDescent="0.4">
      <c r="A190" s="38"/>
      <c r="D190" s="39"/>
      <c r="F190" s="39"/>
    </row>
    <row r="191" spans="1:6" x14ac:dyDescent="0.4">
      <c r="A191" s="38"/>
      <c r="D191" s="39"/>
      <c r="F191" s="39"/>
    </row>
    <row r="192" spans="1:6" x14ac:dyDescent="0.4">
      <c r="A192" s="38"/>
      <c r="D192" s="39"/>
      <c r="F192" s="39"/>
    </row>
    <row r="193" spans="1:6" x14ac:dyDescent="0.4">
      <c r="A193" s="38"/>
      <c r="E193" s="39"/>
      <c r="F193" s="39"/>
    </row>
    <row r="194" spans="1:6" x14ac:dyDescent="0.4">
      <c r="A194" s="38"/>
      <c r="F194" s="39"/>
    </row>
    <row r="195" spans="1:6" x14ac:dyDescent="0.4">
      <c r="A195" s="38"/>
      <c r="D195" s="39"/>
      <c r="F195" s="39"/>
    </row>
    <row r="196" spans="1:6" x14ac:dyDescent="0.4">
      <c r="A196" s="38"/>
      <c r="D196" s="39"/>
      <c r="F196" s="39"/>
    </row>
    <row r="197" spans="1:6" x14ac:dyDescent="0.4">
      <c r="A197" s="38"/>
      <c r="D197" s="39"/>
      <c r="F197" s="39"/>
    </row>
    <row r="198" spans="1:6" x14ac:dyDescent="0.4">
      <c r="A198" s="38"/>
      <c r="D198" s="39"/>
      <c r="F198" s="39"/>
    </row>
    <row r="199" spans="1:6" x14ac:dyDescent="0.4">
      <c r="A199" s="38"/>
      <c r="F199" s="39"/>
    </row>
    <row r="200" spans="1:6" x14ac:dyDescent="0.4">
      <c r="A200" s="38"/>
      <c r="E200" s="39"/>
      <c r="F200" s="39"/>
    </row>
    <row r="201" spans="1:6" x14ac:dyDescent="0.4">
      <c r="A201" s="38"/>
      <c r="D201" s="39"/>
      <c r="F201" s="39"/>
    </row>
    <row r="202" spans="1:6" x14ac:dyDescent="0.4">
      <c r="A202" s="38"/>
      <c r="F202" s="39"/>
    </row>
    <row r="203" spans="1:6" x14ac:dyDescent="0.4">
      <c r="A203" s="38"/>
      <c r="D203" s="39"/>
      <c r="F203" s="39"/>
    </row>
    <row r="204" spans="1:6" x14ac:dyDescent="0.4">
      <c r="A204" s="38"/>
      <c r="D204" s="39"/>
      <c r="F204" s="39"/>
    </row>
    <row r="205" spans="1:6" x14ac:dyDescent="0.4">
      <c r="A205" s="38"/>
      <c r="D205" s="39"/>
      <c r="F205" s="39"/>
    </row>
    <row r="206" spans="1:6" x14ac:dyDescent="0.4">
      <c r="A206" s="38"/>
      <c r="D206" s="39"/>
      <c r="F206" s="39"/>
    </row>
    <row r="207" spans="1:6" x14ac:dyDescent="0.4">
      <c r="A207" s="38"/>
      <c r="D207" s="39"/>
      <c r="F207" s="39"/>
    </row>
    <row r="208" spans="1:6" x14ac:dyDescent="0.4">
      <c r="A208" s="38"/>
      <c r="D208" s="39"/>
      <c r="F208" s="39"/>
    </row>
    <row r="209" spans="1:6" x14ac:dyDescent="0.4">
      <c r="A209" s="38"/>
      <c r="D209" s="39"/>
      <c r="F209" s="39"/>
    </row>
    <row r="210" spans="1:6" x14ac:dyDescent="0.4">
      <c r="A210" s="38"/>
      <c r="D210" s="39"/>
      <c r="F210" s="39"/>
    </row>
    <row r="211" spans="1:6" x14ac:dyDescent="0.4">
      <c r="A211" s="38"/>
      <c r="E211" s="39"/>
      <c r="F211" s="39"/>
    </row>
    <row r="212" spans="1:6" x14ac:dyDescent="0.4">
      <c r="A212" s="38"/>
      <c r="D212" s="39"/>
      <c r="F212" s="39"/>
    </row>
    <row r="213" spans="1:6" x14ac:dyDescent="0.4">
      <c r="A213" s="38"/>
      <c r="F213" s="39"/>
    </row>
    <row r="214" spans="1:6" x14ac:dyDescent="0.4">
      <c r="A214" s="38"/>
      <c r="D214" s="39"/>
      <c r="F214" s="39"/>
    </row>
    <row r="215" spans="1:6" x14ac:dyDescent="0.4">
      <c r="A215" s="38"/>
      <c r="D215" s="39"/>
      <c r="F215" s="39"/>
    </row>
    <row r="216" spans="1:6" x14ac:dyDescent="0.4">
      <c r="A216" s="38"/>
      <c r="D216" s="39"/>
      <c r="F216" s="39"/>
    </row>
    <row r="217" spans="1:6" x14ac:dyDescent="0.4">
      <c r="A217" s="38"/>
      <c r="D217" s="39"/>
      <c r="F217" s="39"/>
    </row>
    <row r="218" spans="1:6" x14ac:dyDescent="0.4">
      <c r="A218" s="38"/>
      <c r="D218" s="39"/>
      <c r="F218" s="39"/>
    </row>
    <row r="219" spans="1:6" x14ac:dyDescent="0.4">
      <c r="A219" s="38"/>
      <c r="D219" s="39"/>
      <c r="F219" s="39"/>
    </row>
    <row r="220" spans="1:6" x14ac:dyDescent="0.4">
      <c r="A220" s="38"/>
      <c r="D220" s="39"/>
      <c r="F220" s="39"/>
    </row>
    <row r="221" spans="1:6" x14ac:dyDescent="0.4">
      <c r="A221" s="38"/>
      <c r="D221" s="39"/>
      <c r="F221" s="39"/>
    </row>
    <row r="222" spans="1:6" x14ac:dyDescent="0.4">
      <c r="A222" s="38"/>
      <c r="E222" s="39"/>
      <c r="F222" s="3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87</vt:i4>
      </vt:variant>
    </vt:vector>
  </HeadingPairs>
  <TitlesOfParts>
    <vt:vector size="98" baseType="lpstr">
      <vt:lpstr>操作</vt:lpstr>
      <vt:lpstr>Summary_Bank</vt:lpstr>
      <vt:lpstr>Divide</vt:lpstr>
      <vt:lpstr>Bank_UFJ(Family)</vt:lpstr>
      <vt:lpstr>Bank_UFJ(Biz)</vt:lpstr>
      <vt:lpstr>Bank_Rakuten</vt:lpstr>
      <vt:lpstr>Bank_NEO</vt:lpstr>
      <vt:lpstr>Bank_SMBC</vt:lpstr>
      <vt:lpstr>Card_Rakuten</vt:lpstr>
      <vt:lpstr>Card_View</vt:lpstr>
      <vt:lpstr>Card_SAISON</vt:lpstr>
      <vt:lpstr>Bank_NEO!ExternalData_1</vt:lpstr>
      <vt:lpstr>Card_SAISON!ExternalData_1</vt:lpstr>
      <vt:lpstr>Card_View!ExternalData_1</vt:lpstr>
      <vt:lpstr>Bank_NEO!ExternalData_10</vt:lpstr>
      <vt:lpstr>Bank_SMBC!ExternalData_10</vt:lpstr>
      <vt:lpstr>'Bank_UFJ(Biz)'!ExternalData_10</vt:lpstr>
      <vt:lpstr>'Bank_UFJ(Family)'!ExternalData_10</vt:lpstr>
      <vt:lpstr>Card_SAISON!ExternalData_10</vt:lpstr>
      <vt:lpstr>Bank_NEO!ExternalData_11</vt:lpstr>
      <vt:lpstr>Bank_SMBC!ExternalData_11</vt:lpstr>
      <vt:lpstr>'Bank_UFJ(Biz)'!ExternalData_11</vt:lpstr>
      <vt:lpstr>'Bank_UFJ(Family)'!ExternalData_11</vt:lpstr>
      <vt:lpstr>Card_SAISON!ExternalData_11</vt:lpstr>
      <vt:lpstr>Bank_NEO!ExternalData_12</vt:lpstr>
      <vt:lpstr>Bank_SMBC!ExternalData_12</vt:lpstr>
      <vt:lpstr>'Bank_UFJ(Biz)'!ExternalData_12</vt:lpstr>
      <vt:lpstr>'Bank_UFJ(Family)'!ExternalData_12</vt:lpstr>
      <vt:lpstr>Card_SAISON!ExternalData_12</vt:lpstr>
      <vt:lpstr>Bank_NEO!ExternalData_13</vt:lpstr>
      <vt:lpstr>Bank_SMBC!ExternalData_13</vt:lpstr>
      <vt:lpstr>'Bank_UFJ(Biz)'!ExternalData_13</vt:lpstr>
      <vt:lpstr>'Bank_UFJ(Family)'!ExternalData_13</vt:lpstr>
      <vt:lpstr>Card_SAISON!ExternalData_13</vt:lpstr>
      <vt:lpstr>Bank_NEO!ExternalData_14</vt:lpstr>
      <vt:lpstr>Bank_SMBC!ExternalData_14</vt:lpstr>
      <vt:lpstr>'Bank_UFJ(Family)'!ExternalData_14</vt:lpstr>
      <vt:lpstr>Card_SAISON!ExternalData_14</vt:lpstr>
      <vt:lpstr>Bank_NEO!ExternalData_15</vt:lpstr>
      <vt:lpstr>Bank_SMBC!ExternalData_15</vt:lpstr>
      <vt:lpstr>'Bank_UFJ(Family)'!ExternalData_15</vt:lpstr>
      <vt:lpstr>Card_SAISON!ExternalData_15</vt:lpstr>
      <vt:lpstr>Bank_NEO!ExternalData_16</vt:lpstr>
      <vt:lpstr>Bank_SMBC!ExternalData_16</vt:lpstr>
      <vt:lpstr>'Bank_UFJ(Family)'!ExternalData_16</vt:lpstr>
      <vt:lpstr>Card_SAISON!ExternalData_16</vt:lpstr>
      <vt:lpstr>Bank_NEO!ExternalData_17</vt:lpstr>
      <vt:lpstr>Bank_SMBC!ExternalData_17</vt:lpstr>
      <vt:lpstr>'Bank_UFJ(Family)'!ExternalData_17</vt:lpstr>
      <vt:lpstr>Card_SAISON!ExternalData_17</vt:lpstr>
      <vt:lpstr>Bank_NEO!ExternalData_18</vt:lpstr>
      <vt:lpstr>'Bank_UFJ(Family)'!ExternalData_18</vt:lpstr>
      <vt:lpstr>Card_SAISON!ExternalData_18</vt:lpstr>
      <vt:lpstr>Bank_NEO!ExternalData_19</vt:lpstr>
      <vt:lpstr>Card_SAISON!ExternalData_19</vt:lpstr>
      <vt:lpstr>Bank_NEO!ExternalData_2</vt:lpstr>
      <vt:lpstr>Card_SAISON!ExternalData_2</vt:lpstr>
      <vt:lpstr>Card_View!ExternalData_2</vt:lpstr>
      <vt:lpstr>Bank_NEO!ExternalData_20</vt:lpstr>
      <vt:lpstr>'Bank_UFJ(Family)'!ExternalData_20</vt:lpstr>
      <vt:lpstr>Card_SAISON!ExternalData_20</vt:lpstr>
      <vt:lpstr>Bank_NEO!ExternalData_21</vt:lpstr>
      <vt:lpstr>'Bank_UFJ(Family)'!ExternalData_21</vt:lpstr>
      <vt:lpstr>Card_SAISON!ExternalData_21</vt:lpstr>
      <vt:lpstr>'Bank_UFJ(Family)'!ExternalData_22</vt:lpstr>
      <vt:lpstr>'Bank_UFJ(Family)'!ExternalData_23</vt:lpstr>
      <vt:lpstr>'Bank_UFJ(Family)'!ExternalData_24</vt:lpstr>
      <vt:lpstr>'Bank_UFJ(Family)'!ExternalData_25</vt:lpstr>
      <vt:lpstr>'Bank_UFJ(Family)'!ExternalData_26</vt:lpstr>
      <vt:lpstr>Bank_NEO!ExternalData_3</vt:lpstr>
      <vt:lpstr>Card_View!ExternalData_3</vt:lpstr>
      <vt:lpstr>Bank_NEO!ExternalData_4</vt:lpstr>
      <vt:lpstr>'Bank_UFJ(Biz)'!ExternalData_4</vt:lpstr>
      <vt:lpstr>Card_SAISON!ExternalData_4</vt:lpstr>
      <vt:lpstr>Bank_NEO!ExternalData_5</vt:lpstr>
      <vt:lpstr>Bank_SMBC!ExternalData_5</vt:lpstr>
      <vt:lpstr>'Bank_UFJ(Family)'!ExternalData_5</vt:lpstr>
      <vt:lpstr>Card_SAISON!ExternalData_5</vt:lpstr>
      <vt:lpstr>Bank_NEO!ExternalData_6</vt:lpstr>
      <vt:lpstr>Bank_SMBC!ExternalData_6</vt:lpstr>
      <vt:lpstr>'Bank_UFJ(Biz)'!ExternalData_6</vt:lpstr>
      <vt:lpstr>'Bank_UFJ(Family)'!ExternalData_6</vt:lpstr>
      <vt:lpstr>Card_SAISON!ExternalData_6</vt:lpstr>
      <vt:lpstr>Bank_NEO!ExternalData_7</vt:lpstr>
      <vt:lpstr>Bank_SMBC!ExternalData_7</vt:lpstr>
      <vt:lpstr>'Bank_UFJ(Biz)'!ExternalData_7</vt:lpstr>
      <vt:lpstr>'Bank_UFJ(Family)'!ExternalData_7</vt:lpstr>
      <vt:lpstr>Card_SAISON!ExternalData_7</vt:lpstr>
      <vt:lpstr>Bank_NEO!ExternalData_8</vt:lpstr>
      <vt:lpstr>Bank_SMBC!ExternalData_8</vt:lpstr>
      <vt:lpstr>'Bank_UFJ(Biz)'!ExternalData_8</vt:lpstr>
      <vt:lpstr>'Bank_UFJ(Family)'!ExternalData_8</vt:lpstr>
      <vt:lpstr>Card_SAISON!ExternalData_8</vt:lpstr>
      <vt:lpstr>Bank_NEO!ExternalData_9</vt:lpstr>
      <vt:lpstr>Bank_SMBC!ExternalData_9</vt:lpstr>
      <vt:lpstr>'Bank_UFJ(Biz)'!ExternalData_9</vt:lpstr>
      <vt:lpstr>'Bank_UFJ(Family)'!ExternalData_9</vt:lpstr>
      <vt:lpstr>Card_SAISON!ExternalData_9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yoga</dc:creator>
  <cp:lastModifiedBy>OgasawaraYoshiaki</cp:lastModifiedBy>
  <dcterms:created xsi:type="dcterms:W3CDTF">2015-06-05T18:17:20Z</dcterms:created>
  <dcterms:modified xsi:type="dcterms:W3CDTF">2020-12-08T13:06:38Z</dcterms:modified>
</cp:coreProperties>
</file>